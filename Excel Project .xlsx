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Vishishta\Downloads\"/>
    </mc:Choice>
  </mc:AlternateContent>
  <xr:revisionPtr revIDLastSave="0" documentId="8_{42C5EAD7-DF0B-4A18-BE53-48BBCF407FAF}"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table" sheetId="2" r:id="rId2"/>
    <sheet name="Dashboard" sheetId="3" r:id="rId3"/>
  </sheets>
  <definedNames>
    <definedName name="_xlnm._FilterDatabase" localSheetId="0" hidden="1">bike_buyers!$A$1:$N$1001</definedName>
    <definedName name="Slicer_Gender">#N/A</definedName>
    <definedName name="Slicer_Marital_Status">#N/A</definedName>
    <definedName name="Slicer_Occupation">#N/A</definedName>
  </definedNames>
  <calcPr calcId="191029"/>
  <pivotCaches>
    <pivotCache cacheId="2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<sst xmlns="http://schemas.openxmlformats.org/spreadsheetml/2006/main" count="8055" uniqueCount="48">
  <si>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</si>
  <si>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</si>
  <si>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</si>
  <si>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</si>
  <si>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</si>
  <si>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</si>
  <si>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</si>
  <si>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</si>
  <si>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</si>
  <si>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</si>
  <si>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</si>
  <si>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</si>
  <si>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</si>
  <si>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</si>
  <si>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</si>
  <si>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</si>
  <si>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</si>
  <si>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</si>
  <si>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</si>
  <si>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</si>
  <si>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</si>
  <si>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</si>
  <si>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</si>
  <si>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</si>
  <si>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</si>
  <si>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</si>
  <si>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</si>
  <si>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</si>
  <si>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</si>
  <si>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</si>
  <si>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</si>
  <si>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</si>
  <si>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</si>
  <si>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</si>
  <si>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</si>
  <si>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</si>
  <si>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</si>
  <si>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Row Labels</t>
  </si>
  <si>
    <t>Grand Total</t>
  </si>
  <si>
    <t>Average of Income</t>
  </si>
  <si>
    <t>Column Labels</t>
  </si>
  <si>
    <t>Count of Purchased Bike</t>
  </si>
  <si>
    <t>more then 10 miles</t>
  </si>
  <si>
    <t>Adolescent</t>
  </si>
  <si>
    <t>Middle age</t>
  </si>
  <si>
    <t>Old</t>
  </si>
  <si>
    <t>Sum of ID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</si>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</sst>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
    <numFmt numFmtId="166" formatCode="&quot;₹&quot;\ #,##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3" tint="-0.499984740745262"/>
      <name val="Calibri"/>
      <family val="2"/>
      <scheme val="minor"/>
    </font>
    <font>
      <sz val="48"/>
      <color theme="0"/>
      <name val="Times New Roman"/>
      <family val="1"/>
    </font>
    <font>
      <sz val="11"/>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xf numFmtId="0" fontId="17" fillId="33" borderId="0" xfId="0" applyFont="1" applyFill="1"/>
    <xf numFmtId="0" fontId="20" fillId="33" borderId="0" xfId="0" applyFont="1" applyFill="1" applyAlignment="1">
      <alignment vertical="center"/>
    </xf>
    <xf numFmtId="0" fontId="21"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#,##0.0</c:formatCode>
                <c:ptCount val="2"/>
                <c:pt idx="0">
                  <c:v>74406.779661016946</c:v>
                </c:pt>
                <c:pt idx="1">
                  <c:v>75223.880597014926</c:v>
                </c:pt>
              </c:numCache>
            </c:numRef>
          </c:val>
          <c:extLst>
            <c:ext xmlns:c16="http://schemas.microsoft.com/office/drawing/2014/chart" uri="{C3380CC4-5D6E-409C-BE32-E72D297353CC}">
              <c16:uniqueId val="{00000000-7625-42FA-A556-DFBC4D5E9F6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#,##0.0</c:formatCode>
                <c:ptCount val="2"/>
                <c:pt idx="0">
                  <c:v>75074.626865671642</c:v>
                </c:pt>
                <c:pt idx="1">
                  <c:v>75421.686746987951</c:v>
                </c:pt>
              </c:numCache>
            </c:numRef>
          </c:val>
          <c:extLst>
            <c:ext xmlns:c16="http://schemas.microsoft.com/office/drawing/2014/chart" uri="{C3380CC4-5D6E-409C-BE32-E72D297353CC}">
              <c16:uniqueId val="{00000001-7625-42FA-A556-DFBC4D5E9F63}"/>
            </c:ext>
          </c:extLst>
        </c:ser>
        <c:dLbls>
          <c:showLegendKey val="0"/>
          <c:showVal val="0"/>
          <c:showCatName val="0"/>
          <c:showSerName val="0"/>
          <c:showPercent val="0"/>
          <c:showBubbleSize val="0"/>
        </c:dLbls>
        <c:gapWidth val="219"/>
        <c:overlap val="-27"/>
        <c:axId val="537272944"/>
        <c:axId val="537272464"/>
      </c:barChart>
      <c:catAx>
        <c:axId val="53727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72464"/>
        <c:crosses val="autoZero"/>
        <c:auto val="1"/>
        <c:lblAlgn val="ctr"/>
        <c:lblOffset val="100"/>
        <c:noMultiLvlLbl val="0"/>
      </c:catAx>
      <c:valAx>
        <c:axId val="537272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72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then 10 miles</c:v>
                </c:pt>
              </c:strCache>
            </c:strRef>
          </c:cat>
          <c:val>
            <c:numRef>
              <c:f>'Pivot table'!$B$21:$B$26</c:f>
              <c:numCache>
                <c:formatCode>General</c:formatCode>
                <c:ptCount val="5"/>
                <c:pt idx="0">
                  <c:v>21</c:v>
                </c:pt>
                <c:pt idx="1">
                  <c:v>14</c:v>
                </c:pt>
                <c:pt idx="2">
                  <c:v>24</c:v>
                </c:pt>
                <c:pt idx="3">
                  <c:v>27</c:v>
                </c:pt>
                <c:pt idx="4">
                  <c:v>40</c:v>
                </c:pt>
              </c:numCache>
            </c:numRef>
          </c:val>
          <c:smooth val="0"/>
          <c:extLst>
            <c:ext xmlns:c16="http://schemas.microsoft.com/office/drawing/2014/chart" uri="{C3380CC4-5D6E-409C-BE32-E72D297353CC}">
              <c16:uniqueId val="{00000000-9ED2-47D0-B462-EE04F72EA91F}"/>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then 10 miles</c:v>
                </c:pt>
              </c:strCache>
            </c:strRef>
          </c:cat>
          <c:val>
            <c:numRef>
              <c:f>'Pivot table'!$C$21:$C$26</c:f>
              <c:numCache>
                <c:formatCode>General</c:formatCode>
                <c:ptCount val="5"/>
                <c:pt idx="0">
                  <c:v>39</c:v>
                </c:pt>
                <c:pt idx="1">
                  <c:v>13</c:v>
                </c:pt>
                <c:pt idx="2">
                  <c:v>49</c:v>
                </c:pt>
                <c:pt idx="3">
                  <c:v>29</c:v>
                </c:pt>
                <c:pt idx="4">
                  <c:v>20</c:v>
                </c:pt>
              </c:numCache>
            </c:numRef>
          </c:val>
          <c:smooth val="0"/>
          <c:extLst>
            <c:ext xmlns:c16="http://schemas.microsoft.com/office/drawing/2014/chart" uri="{C3380CC4-5D6E-409C-BE32-E72D297353CC}">
              <c16:uniqueId val="{00000001-9ED2-47D0-B462-EE04F72EA91F}"/>
            </c:ext>
          </c:extLst>
        </c:ser>
        <c:dLbls>
          <c:dLblPos val="t"/>
          <c:showLegendKey val="0"/>
          <c:showVal val="0"/>
          <c:showCatName val="0"/>
          <c:showSerName val="0"/>
          <c:showPercent val="0"/>
          <c:showBubbleSize val="0"/>
        </c:dLbls>
        <c:smooth val="0"/>
        <c:axId val="571843328"/>
        <c:axId val="571838048"/>
      </c:lineChart>
      <c:catAx>
        <c:axId val="57184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38048"/>
        <c:crosses val="autoZero"/>
        <c:auto val="1"/>
        <c:lblAlgn val="ctr"/>
        <c:lblOffset val="100"/>
        <c:noMultiLvlLbl val="0"/>
      </c:catAx>
      <c:valAx>
        <c:axId val="57183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4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3</c:v>
                </c:pt>
                <c:pt idx="1">
                  <c:v>94</c:v>
                </c:pt>
                <c:pt idx="2">
                  <c:v>29</c:v>
                </c:pt>
              </c:numCache>
            </c:numRef>
          </c:val>
          <c:smooth val="0"/>
          <c:extLst>
            <c:ext xmlns:c16="http://schemas.microsoft.com/office/drawing/2014/chart" uri="{C3380CC4-5D6E-409C-BE32-E72D297353CC}">
              <c16:uniqueId val="{00000000-D307-49B1-A77A-93107514F6DF}"/>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2</c:v>
                </c:pt>
                <c:pt idx="1">
                  <c:v>130</c:v>
                </c:pt>
                <c:pt idx="2">
                  <c:v>18</c:v>
                </c:pt>
              </c:numCache>
            </c:numRef>
          </c:val>
          <c:smooth val="0"/>
          <c:extLst>
            <c:ext xmlns:c16="http://schemas.microsoft.com/office/drawing/2014/chart" uri="{C3380CC4-5D6E-409C-BE32-E72D297353CC}">
              <c16:uniqueId val="{00000001-D307-49B1-A77A-93107514F6DF}"/>
            </c:ext>
          </c:extLst>
        </c:ser>
        <c:dLbls>
          <c:showLegendKey val="0"/>
          <c:showVal val="0"/>
          <c:showCatName val="0"/>
          <c:showSerName val="0"/>
          <c:showPercent val="0"/>
          <c:showBubbleSize val="0"/>
        </c:dLbls>
        <c:marker val="1"/>
        <c:smooth val="0"/>
        <c:axId val="534719408"/>
        <c:axId val="534715568"/>
      </c:lineChart>
      <c:catAx>
        <c:axId val="53471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15568"/>
        <c:crosses val="autoZero"/>
        <c:auto val="1"/>
        <c:lblAlgn val="ctr"/>
        <c:lblOffset val="100"/>
        <c:noMultiLvlLbl val="0"/>
      </c:catAx>
      <c:valAx>
        <c:axId val="53471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19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table!PivotTable5</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table'!$B$64:$B$65</c:f>
              <c:strCache>
                <c:ptCount val="1"/>
                <c:pt idx="0">
                  <c:v>Married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table'!$A$66:$A$69</c:f>
              <c:strCache>
                <c:ptCount val="3"/>
                <c:pt idx="0">
                  <c:v>Europe</c:v>
                </c:pt>
                <c:pt idx="1">
                  <c:v>North America</c:v>
                </c:pt>
                <c:pt idx="2">
                  <c:v>Pacific</c:v>
                </c:pt>
              </c:strCache>
            </c:strRef>
          </c:cat>
          <c:val>
            <c:numRef>
              <c:f>'Pivot table'!$B$66:$B$69</c:f>
              <c:numCache>
                <c:formatCode>General</c:formatCode>
                <c:ptCount val="3"/>
                <c:pt idx="0">
                  <c:v>449306</c:v>
                </c:pt>
                <c:pt idx="1">
                  <c:v>2334391</c:v>
                </c:pt>
                <c:pt idx="2">
                  <c:v>437729</c:v>
                </c:pt>
              </c:numCache>
            </c:numRef>
          </c:val>
          <c:extLst>
            <c:ext xmlns:c16="http://schemas.microsoft.com/office/drawing/2014/chart" uri="{C3380CC4-5D6E-409C-BE32-E72D297353CC}">
              <c16:uniqueId val="{00000000-827A-438B-AB38-F8919248BC9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#,##0.0</c:formatCode>
                <c:ptCount val="2"/>
                <c:pt idx="0">
                  <c:v>74406.779661016946</c:v>
                </c:pt>
                <c:pt idx="1">
                  <c:v>75223.880597014926</c:v>
                </c:pt>
              </c:numCache>
            </c:numRef>
          </c:val>
          <c:extLst>
            <c:ext xmlns:c16="http://schemas.microsoft.com/office/drawing/2014/chart" uri="{C3380CC4-5D6E-409C-BE32-E72D297353CC}">
              <c16:uniqueId val="{00000000-057B-4EA4-BFBC-B1C2183076E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#,##0.0</c:formatCode>
                <c:ptCount val="2"/>
                <c:pt idx="0">
                  <c:v>75074.626865671642</c:v>
                </c:pt>
                <c:pt idx="1">
                  <c:v>75421.686746987951</c:v>
                </c:pt>
              </c:numCache>
            </c:numRef>
          </c:val>
          <c:extLst>
            <c:ext xmlns:c16="http://schemas.microsoft.com/office/drawing/2014/chart" uri="{C3380CC4-5D6E-409C-BE32-E72D297353CC}">
              <c16:uniqueId val="{00000001-057B-4EA4-BFBC-B1C2183076E9}"/>
            </c:ext>
          </c:extLst>
        </c:ser>
        <c:dLbls>
          <c:showLegendKey val="0"/>
          <c:showVal val="0"/>
          <c:showCatName val="0"/>
          <c:showSerName val="0"/>
          <c:showPercent val="0"/>
          <c:showBubbleSize val="0"/>
        </c:dLbls>
        <c:gapWidth val="219"/>
        <c:overlap val="-27"/>
        <c:axId val="537272944"/>
        <c:axId val="537272464"/>
      </c:barChart>
      <c:catAx>
        <c:axId val="53727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72464"/>
        <c:crosses val="autoZero"/>
        <c:auto val="1"/>
        <c:lblAlgn val="ctr"/>
        <c:lblOffset val="100"/>
        <c:noMultiLvlLbl val="0"/>
      </c:catAx>
      <c:valAx>
        <c:axId val="537272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72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then 10 miles</c:v>
                </c:pt>
              </c:strCache>
            </c:strRef>
          </c:cat>
          <c:val>
            <c:numRef>
              <c:f>'Pivot table'!$B$21:$B$26</c:f>
              <c:numCache>
                <c:formatCode>General</c:formatCode>
                <c:ptCount val="5"/>
                <c:pt idx="0">
                  <c:v>21</c:v>
                </c:pt>
                <c:pt idx="1">
                  <c:v>14</c:v>
                </c:pt>
                <c:pt idx="2">
                  <c:v>24</c:v>
                </c:pt>
                <c:pt idx="3">
                  <c:v>27</c:v>
                </c:pt>
                <c:pt idx="4">
                  <c:v>40</c:v>
                </c:pt>
              </c:numCache>
            </c:numRef>
          </c:val>
          <c:smooth val="0"/>
          <c:extLst>
            <c:ext xmlns:c16="http://schemas.microsoft.com/office/drawing/2014/chart" uri="{C3380CC4-5D6E-409C-BE32-E72D297353CC}">
              <c16:uniqueId val="{00000000-8A41-4F5A-A2E1-F0BEDE689916}"/>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then 10 miles</c:v>
                </c:pt>
              </c:strCache>
            </c:strRef>
          </c:cat>
          <c:val>
            <c:numRef>
              <c:f>'Pivot table'!$C$21:$C$26</c:f>
              <c:numCache>
                <c:formatCode>General</c:formatCode>
                <c:ptCount val="5"/>
                <c:pt idx="0">
                  <c:v>39</c:v>
                </c:pt>
                <c:pt idx="1">
                  <c:v>13</c:v>
                </c:pt>
                <c:pt idx="2">
                  <c:v>49</c:v>
                </c:pt>
                <c:pt idx="3">
                  <c:v>29</c:v>
                </c:pt>
                <c:pt idx="4">
                  <c:v>20</c:v>
                </c:pt>
              </c:numCache>
            </c:numRef>
          </c:val>
          <c:smooth val="0"/>
          <c:extLst>
            <c:ext xmlns:c16="http://schemas.microsoft.com/office/drawing/2014/chart" uri="{C3380CC4-5D6E-409C-BE32-E72D297353CC}">
              <c16:uniqueId val="{00000001-8A41-4F5A-A2E1-F0BEDE689916}"/>
            </c:ext>
          </c:extLst>
        </c:ser>
        <c:dLbls>
          <c:showLegendKey val="0"/>
          <c:showVal val="0"/>
          <c:showCatName val="0"/>
          <c:showSerName val="0"/>
          <c:showPercent val="0"/>
          <c:showBubbleSize val="0"/>
        </c:dLbls>
        <c:marker val="1"/>
        <c:smooth val="0"/>
        <c:axId val="571843328"/>
        <c:axId val="571838048"/>
      </c:lineChart>
      <c:catAx>
        <c:axId val="571843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1838048"/>
        <c:crosses val="autoZero"/>
        <c:auto val="1"/>
        <c:lblAlgn val="ctr"/>
        <c:lblOffset val="100"/>
        <c:noMultiLvlLbl val="0"/>
      </c:catAx>
      <c:valAx>
        <c:axId val="5718380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184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3</c:v>
                </c:pt>
                <c:pt idx="1">
                  <c:v>94</c:v>
                </c:pt>
                <c:pt idx="2">
                  <c:v>29</c:v>
                </c:pt>
              </c:numCache>
            </c:numRef>
          </c:val>
          <c:smooth val="0"/>
          <c:extLst>
            <c:ext xmlns:c16="http://schemas.microsoft.com/office/drawing/2014/chart" uri="{C3380CC4-5D6E-409C-BE32-E72D297353CC}">
              <c16:uniqueId val="{00000000-1F5A-4D33-A169-C2F56E3A68C3}"/>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2</c:v>
                </c:pt>
                <c:pt idx="1">
                  <c:v>130</c:v>
                </c:pt>
                <c:pt idx="2">
                  <c:v>18</c:v>
                </c:pt>
              </c:numCache>
            </c:numRef>
          </c:val>
          <c:smooth val="0"/>
          <c:extLst>
            <c:ext xmlns:c16="http://schemas.microsoft.com/office/drawing/2014/chart" uri="{C3380CC4-5D6E-409C-BE32-E72D297353CC}">
              <c16:uniqueId val="{00000001-1F5A-4D33-A169-C2F56E3A68C3}"/>
            </c:ext>
          </c:extLst>
        </c:ser>
        <c:dLbls>
          <c:showLegendKey val="0"/>
          <c:showVal val="0"/>
          <c:showCatName val="0"/>
          <c:showSerName val="0"/>
          <c:showPercent val="0"/>
          <c:showBubbleSize val="0"/>
        </c:dLbls>
        <c:marker val="1"/>
        <c:smooth val="0"/>
        <c:axId val="534719408"/>
        <c:axId val="534715568"/>
      </c:lineChart>
      <c:catAx>
        <c:axId val="53471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15568"/>
        <c:crosses val="autoZero"/>
        <c:auto val="1"/>
        <c:lblAlgn val="ctr"/>
        <c:lblOffset val="100"/>
        <c:noMultiLvlLbl val="0"/>
      </c:catAx>
      <c:valAx>
        <c:axId val="53471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19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table'!$B$64:$B$65</c:f>
              <c:strCache>
                <c:ptCount val="1"/>
                <c:pt idx="0">
                  <c:v>Married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841-4FAB-B6CB-070F8420549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841-4FAB-B6CB-070F8420549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841-4FAB-B6CB-070F842054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table'!$A$66:$A$69</c:f>
              <c:strCache>
                <c:ptCount val="3"/>
                <c:pt idx="0">
                  <c:v>Europe</c:v>
                </c:pt>
                <c:pt idx="1">
                  <c:v>North America</c:v>
                </c:pt>
                <c:pt idx="2">
                  <c:v>Pacific</c:v>
                </c:pt>
              </c:strCache>
            </c:strRef>
          </c:cat>
          <c:val>
            <c:numRef>
              <c:f>'Pivot table'!$B$66:$B$69</c:f>
              <c:numCache>
                <c:formatCode>General</c:formatCode>
                <c:ptCount val="3"/>
                <c:pt idx="0">
                  <c:v>449306</c:v>
                </c:pt>
                <c:pt idx="1">
                  <c:v>2334391</c:v>
                </c:pt>
                <c:pt idx="2">
                  <c:v>437729</c:v>
                </c:pt>
              </c:numCache>
            </c:numRef>
          </c:val>
          <c:extLst>
            <c:ext xmlns:c16="http://schemas.microsoft.com/office/drawing/2014/chart" uri="{C3380CC4-5D6E-409C-BE32-E72D297353CC}">
              <c16:uniqueId val="{00000006-8841-4FAB-B6CB-070F8420549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236220</xdr:colOff>
      <xdr:row>0</xdr:row>
      <xdr:rowOff>125730</xdr:rowOff>
    </xdr:from>
    <xdr:to>
      <xdr:col>11</xdr:col>
      <xdr:colOff>541020</xdr:colOff>
      <xdr:row>15</xdr:row>
      <xdr:rowOff>125730</xdr:rowOff>
    </xdr:to>
    <xdr:graphicFrame macro="">
      <xdr:nvGraphicFramePr>
        <xdr:cNvPr id="2" name="Chart 1">
          <a:extLst>
            <a:ext uri="{FF2B5EF4-FFF2-40B4-BE49-F238E27FC236}">
              <a16:creationId xmlns:a16="http://schemas.microsoft.com/office/drawing/2014/main" id="{3AEC40AB-B0E9-B87E-903D-52DB08F1D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18</xdr:row>
      <xdr:rowOff>171450</xdr:rowOff>
    </xdr:from>
    <xdr:to>
      <xdr:col>11</xdr:col>
      <xdr:colOff>502920</xdr:colOff>
      <xdr:row>33</xdr:row>
      <xdr:rowOff>171450</xdr:rowOff>
    </xdr:to>
    <xdr:graphicFrame macro="">
      <xdr:nvGraphicFramePr>
        <xdr:cNvPr id="3" name="Chart 2">
          <a:extLst>
            <a:ext uri="{FF2B5EF4-FFF2-40B4-BE49-F238E27FC236}">
              <a16:creationId xmlns:a16="http://schemas.microsoft.com/office/drawing/2014/main" id="{587B5C06-5B75-5D0D-AF66-E3BA5E51D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365760</xdr:colOff>
      <xdr:row>41</xdr:row>
      <xdr:rowOff>80010</xdr:rowOff>
    </xdr:from>
    <xdr:to>
      <xdr:col>12</xdr:col>
      <xdr:colOff>60960</xdr:colOff>
      <xdr:row>56</xdr:row>
      <xdr:rowOff>80010</xdr:rowOff>
    </xdr:to>
    <xdr:graphicFrame macro="">
      <xdr:nvGraphicFramePr>
        <xdr:cNvPr id="4" name="Chart 3">
          <a:extLst>
            <a:ext uri="{FF2B5EF4-FFF2-40B4-BE49-F238E27FC236}">
              <a16:creationId xmlns:a16="http://schemas.microsoft.com/office/drawing/2014/main" id="{D15B9F0B-EBEE-DB3B-1520-94E6DBFAC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487680</xdr:colOff>
      <xdr:row>61</xdr:row>
      <xdr:rowOff>163830</xdr:rowOff>
    </xdr:from>
    <xdr:to>
      <xdr:col>11</xdr:col>
      <xdr:colOff>190500</xdr:colOff>
      <xdr:row>76</xdr:row>
      <xdr:rowOff>163830</xdr:rowOff>
    </xdr:to>
    <xdr:graphicFrame macro="">
      <xdr:nvGraphicFramePr>
        <xdr:cNvPr id="5" name="Chart 4">
          <a:extLst>
            <a:ext uri="{FF2B5EF4-FFF2-40B4-BE49-F238E27FC236}">
              <a16:creationId xmlns:a16="http://schemas.microsoft.com/office/drawing/2014/main" id="{C0ACFEF0-4839-7740-262B-7F432AE9A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7</xdr:col>
      <xdr:colOff>304800</xdr:colOff>
      <xdr:row>22</xdr:row>
      <xdr:rowOff>0</xdr:rowOff>
    </xdr:to>
    <xdr:graphicFrame macro="">
      <xdr:nvGraphicFramePr>
        <xdr:cNvPr id="2" name="Chart 1">
          <a:extLst>
            <a:ext uri="{FF2B5EF4-FFF2-40B4-BE49-F238E27FC236}">
              <a16:creationId xmlns:a16="http://schemas.microsoft.com/office/drawing/2014/main" id="{679FE06B-0D7E-4DDF-9E45-23ED8A7DB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7</xdr:row>
      <xdr:rowOff>0</xdr:rowOff>
    </xdr:from>
    <xdr:to>
      <xdr:col>13</xdr:col>
      <xdr:colOff>0</xdr:colOff>
      <xdr:row>21</xdr:row>
      <xdr:rowOff>175260</xdr:rowOff>
    </xdr:to>
    <xdr:graphicFrame macro="">
      <xdr:nvGraphicFramePr>
        <xdr:cNvPr id="3" name="Chart 2">
          <a:extLst>
            <a:ext uri="{FF2B5EF4-FFF2-40B4-BE49-F238E27FC236}">
              <a16:creationId xmlns:a16="http://schemas.microsoft.com/office/drawing/2014/main" id="{9D1A290F-9F19-4BFA-9CDD-93D1247F9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30480</xdr:rowOff>
    </xdr:from>
    <xdr:to>
      <xdr:col>7</xdr:col>
      <xdr:colOff>274320</xdr:colOff>
      <xdr:row>40</xdr:row>
      <xdr:rowOff>15240</xdr:rowOff>
    </xdr:to>
    <xdr:graphicFrame macro="">
      <xdr:nvGraphicFramePr>
        <xdr:cNvPr id="4" name="Chart 3">
          <a:extLst>
            <a:ext uri="{FF2B5EF4-FFF2-40B4-BE49-F238E27FC236}">
              <a16:creationId xmlns:a16="http://schemas.microsoft.com/office/drawing/2014/main" id="{7D58450A-94B5-4318-80B6-6E4C4C179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426720</xdr:colOff>
      <xdr:row>24</xdr:row>
      <xdr:rowOff>0</xdr:rowOff>
    </xdr:from>
    <xdr:to>
      <xdr:col>13</xdr:col>
      <xdr:colOff>0</xdr:colOff>
      <xdr:row>39</xdr:row>
      <xdr:rowOff>167640</xdr:rowOff>
    </xdr:to>
    <xdr:graphicFrame macro="">
      <xdr:nvGraphicFramePr>
        <xdr:cNvPr id="5" name="Chart 4">
          <a:extLst>
            <a:ext uri="{FF2B5EF4-FFF2-40B4-BE49-F238E27FC236}">
              <a16:creationId xmlns:a16="http://schemas.microsoft.com/office/drawing/2014/main" id="{D48354FB-2369-4318-9EB9-05DC50020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7</xdr:row>
      <xdr:rowOff>1</xdr:rowOff>
    </xdr:from>
    <xdr:to>
      <xdr:col>16</xdr:col>
      <xdr:colOff>0</xdr:colOff>
      <xdr:row>13</xdr:row>
      <xdr:rowOff>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007417E5-9B41-36F5-7389-08162D97F9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24800" y="187452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13</xdr:row>
      <xdr:rowOff>99060</xdr:rowOff>
    </xdr:from>
    <xdr:to>
      <xdr:col>16</xdr:col>
      <xdr:colOff>0</xdr:colOff>
      <xdr:row>19</xdr:row>
      <xdr:rowOff>99060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FE1C2F8C-ADC2-C92A-B150-00F2A449D2A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924800" y="3070860"/>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20</xdr:row>
      <xdr:rowOff>62865</xdr:rowOff>
    </xdr:from>
    <xdr:to>
      <xdr:col>16</xdr:col>
      <xdr:colOff>0</xdr:colOff>
      <xdr:row>30</xdr:row>
      <xdr:rowOff>0</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C3138A7A-E611-048A-B000-D4EEFB47A56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924800" y="4314825"/>
              <a:ext cx="1828800" cy="1765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ishta" refreshedDate="46221.675115509257" createdVersion="8" refreshedVersion="8" minRefreshableVersion="3" recordCount="1000" xr:uid="{649EC6F4-0A1F-4673-947C-D0C0AC1BAD3E}">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79282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1"/>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0"/>
    <x v="1"/>
  </r>
  <r>
    <n v="19364"/>
    <x v="0"/>
    <x v="1"/>
    <n v="40000"/>
    <n v="1"/>
    <s v="Bachelors"/>
    <x v="0"/>
    <s v="Yes"/>
    <n v="0"/>
    <x v="0"/>
    <x v="0"/>
    <n v="43"/>
    <x v="0"/>
    <x v="1"/>
  </r>
  <r>
    <n v="22155"/>
    <x v="0"/>
    <x v="1"/>
    <n v="20000"/>
    <n v="2"/>
    <s v="Partial High School"/>
    <x v="1"/>
    <s v="Yes"/>
    <n v="2"/>
    <x v="2"/>
    <x v="1"/>
    <n v="58"/>
    <x v="1"/>
    <x v="0"/>
  </r>
  <r>
    <n v="19280"/>
    <x v="0"/>
    <x v="1"/>
    <n v="120000"/>
    <n v="2"/>
    <s v="Partial College"/>
    <x v="3"/>
    <s v="Yes"/>
    <n v="1"/>
    <x v="0"/>
    <x v="0"/>
    <n v="40"/>
    <x v="0"/>
    <x v="1"/>
  </r>
  <r>
    <n v="22173"/>
    <x v="0"/>
    <x v="0"/>
    <n v="30000"/>
    <n v="3"/>
    <s v="High School"/>
    <x v="0"/>
    <s v="No"/>
    <n v="2"/>
    <x v="3"/>
    <x v="1"/>
    <n v="54"/>
    <x v="0"/>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0"/>
    <x v="0"/>
  </r>
  <r>
    <n v="18484"/>
    <x v="1"/>
    <x v="1"/>
    <n v="80000"/>
    <n v="2"/>
    <s v="High School"/>
    <x v="0"/>
    <s v="No"/>
    <n v="2"/>
    <x v="3"/>
    <x v="1"/>
    <n v="50"/>
    <x v="0"/>
    <x v="1"/>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2"/>
    <x v="0"/>
  </r>
  <r>
    <n v="26863"/>
    <x v="1"/>
    <x v="1"/>
    <n v="20000"/>
    <n v="0"/>
    <s v="High School"/>
    <x v="3"/>
    <s v="No"/>
    <n v="1"/>
    <x v="1"/>
    <x v="0"/>
    <n v="28"/>
    <x v="2"/>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1"/>
    <x v="1"/>
  </r>
  <r>
    <n v="24466"/>
    <x v="0"/>
    <x v="0"/>
    <n v="60000"/>
    <n v="1"/>
    <s v="Partial College"/>
    <x v="0"/>
    <s v="Yes"/>
    <n v="1"/>
    <x v="2"/>
    <x v="1"/>
    <n v="46"/>
    <x v="0"/>
    <x v="1"/>
  </r>
  <r>
    <n v="29097"/>
    <x v="1"/>
    <x v="0"/>
    <n v="40000"/>
    <n v="2"/>
    <s v="Partial College"/>
    <x v="0"/>
    <s v="Yes"/>
    <n v="2"/>
    <x v="2"/>
    <x v="1"/>
    <n v="52"/>
    <x v="0"/>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2"/>
    <x v="0"/>
  </r>
  <r>
    <n v="20619"/>
    <x v="1"/>
    <x v="1"/>
    <n v="80000"/>
    <n v="0"/>
    <s v="Bachelors"/>
    <x v="2"/>
    <s v="No"/>
    <n v="4"/>
    <x v="4"/>
    <x v="1"/>
    <n v="35"/>
    <x v="0"/>
    <x v="0"/>
  </r>
  <r>
    <n v="12558"/>
    <x v="0"/>
    <x v="0"/>
    <n v="20000"/>
    <n v="1"/>
    <s v="Bachelors"/>
    <x v="1"/>
    <s v="Yes"/>
    <n v="0"/>
    <x v="0"/>
    <x v="0"/>
    <n v="65"/>
    <x v="1"/>
    <x v="0"/>
  </r>
  <r>
    <n v="24871"/>
    <x v="1"/>
    <x v="0"/>
    <n v="90000"/>
    <n v="4"/>
    <s v="High School"/>
    <x v="4"/>
    <s v="No"/>
    <n v="3"/>
    <x v="2"/>
    <x v="0"/>
    <n v="56"/>
    <x v="1"/>
    <x v="0"/>
  </r>
  <r>
    <n v="17319"/>
    <x v="1"/>
    <x v="0"/>
    <n v="70000"/>
    <n v="0"/>
    <s v="Bachelors"/>
    <x v="2"/>
    <s v="No"/>
    <n v="1"/>
    <x v="2"/>
    <x v="1"/>
    <n v="42"/>
    <x v="0"/>
    <x v="0"/>
  </r>
  <r>
    <n v="28906"/>
    <x v="0"/>
    <x v="1"/>
    <n v="80000"/>
    <n v="4"/>
    <s v="High School"/>
    <x v="2"/>
    <s v="Yes"/>
    <n v="2"/>
    <x v="4"/>
    <x v="0"/>
    <n v="54"/>
    <x v="0"/>
    <x v="0"/>
  </r>
  <r>
    <n v="12808"/>
    <x v="0"/>
    <x v="1"/>
    <n v="40000"/>
    <n v="0"/>
    <s v="Bachelors"/>
    <x v="1"/>
    <s v="Yes"/>
    <n v="0"/>
    <x v="0"/>
    <x v="0"/>
    <n v="38"/>
    <x v="0"/>
    <x v="1"/>
  </r>
  <r>
    <n v="20567"/>
    <x v="0"/>
    <x v="1"/>
    <n v="130000"/>
    <n v="4"/>
    <s v="Partial College"/>
    <x v="2"/>
    <s v="No"/>
    <n v="4"/>
    <x v="2"/>
    <x v="0"/>
    <n v="61"/>
    <x v="1"/>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0"/>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1"/>
    <x v="0"/>
  </r>
  <r>
    <n v="29355"/>
    <x v="0"/>
    <x v="0"/>
    <n v="40000"/>
    <n v="0"/>
    <s v="Graduate Degree"/>
    <x v="1"/>
    <s v="Yes"/>
    <n v="0"/>
    <x v="0"/>
    <x v="0"/>
    <n v="37"/>
    <x v="0"/>
    <x v="1"/>
  </r>
  <r>
    <n v="25303"/>
    <x v="1"/>
    <x v="1"/>
    <n v="30000"/>
    <n v="0"/>
    <s v="High School"/>
    <x v="3"/>
    <s v="Yes"/>
    <n v="1"/>
    <x v="1"/>
    <x v="0"/>
    <n v="33"/>
    <x v="0"/>
    <x v="1"/>
  </r>
  <r>
    <n v="14813"/>
    <x v="1"/>
    <x v="0"/>
    <n v="20000"/>
    <n v="4"/>
    <s v="High School"/>
    <x v="3"/>
    <s v="Yes"/>
    <n v="1"/>
    <x v="0"/>
    <x v="0"/>
    <n v="43"/>
    <x v="0"/>
    <x v="1"/>
  </r>
  <r>
    <n v="16438"/>
    <x v="0"/>
    <x v="0"/>
    <n v="10000"/>
    <n v="0"/>
    <s v="Partial High School"/>
    <x v="3"/>
    <s v="No"/>
    <n v="2"/>
    <x v="0"/>
    <x v="0"/>
    <n v="30"/>
    <x v="2"/>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0"/>
    <x v="1"/>
  </r>
  <r>
    <n v="14517"/>
    <x v="0"/>
    <x v="0"/>
    <n v="20000"/>
    <n v="3"/>
    <s v="High School"/>
    <x v="0"/>
    <s v="No"/>
    <n v="2"/>
    <x v="3"/>
    <x v="1"/>
    <n v="62"/>
    <x v="1"/>
    <x v="0"/>
  </r>
  <r>
    <n v="12678"/>
    <x v="1"/>
    <x v="0"/>
    <n v="130000"/>
    <n v="4"/>
    <s v="High School"/>
    <x v="4"/>
    <s v="Yes"/>
    <n v="4"/>
    <x v="0"/>
    <x v="1"/>
    <n v="31"/>
    <x v="0"/>
    <x v="0"/>
  </r>
  <r>
    <n v="16188"/>
    <x v="1"/>
    <x v="0"/>
    <n v="20000"/>
    <n v="0"/>
    <s v="Partial High School"/>
    <x v="3"/>
    <s v="No"/>
    <n v="2"/>
    <x v="3"/>
    <x v="0"/>
    <n v="26"/>
    <x v="2"/>
    <x v="0"/>
  </r>
  <r>
    <n v="27969"/>
    <x v="0"/>
    <x v="1"/>
    <n v="80000"/>
    <n v="0"/>
    <s v="Bachelors"/>
    <x v="2"/>
    <s v="Yes"/>
    <n v="2"/>
    <x v="4"/>
    <x v="1"/>
    <n v="29"/>
    <x v="2"/>
    <x v="1"/>
  </r>
  <r>
    <n v="15752"/>
    <x v="0"/>
    <x v="1"/>
    <n v="80000"/>
    <n v="2"/>
    <s v="High School"/>
    <x v="0"/>
    <s v="No"/>
    <n v="2"/>
    <x v="3"/>
    <x v="1"/>
    <n v="50"/>
    <x v="0"/>
    <x v="1"/>
  </r>
  <r>
    <n v="27745"/>
    <x v="1"/>
    <x v="1"/>
    <n v="40000"/>
    <n v="2"/>
    <s v="Bachelors"/>
    <x v="4"/>
    <s v="Yes"/>
    <n v="2"/>
    <x v="2"/>
    <x v="1"/>
    <n v="63"/>
    <x v="1"/>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2"/>
    <x v="0"/>
  </r>
  <r>
    <n v="24485"/>
    <x v="1"/>
    <x v="1"/>
    <n v="40000"/>
    <n v="2"/>
    <s v="Bachelors"/>
    <x v="4"/>
    <s v="No"/>
    <n v="1"/>
    <x v="2"/>
    <x v="1"/>
    <n v="52"/>
    <x v="0"/>
    <x v="1"/>
  </r>
  <r>
    <n v="16514"/>
    <x v="1"/>
    <x v="1"/>
    <n v="10000"/>
    <n v="0"/>
    <s v="Partial College"/>
    <x v="3"/>
    <s v="Yes"/>
    <n v="1"/>
    <x v="3"/>
    <x v="1"/>
    <n v="26"/>
    <x v="2"/>
    <x v="1"/>
  </r>
  <r>
    <n v="17191"/>
    <x v="1"/>
    <x v="1"/>
    <n v="130000"/>
    <n v="3"/>
    <s v="Partial College"/>
    <x v="2"/>
    <s v="No"/>
    <n v="3"/>
    <x v="0"/>
    <x v="0"/>
    <n v="51"/>
    <x v="0"/>
    <x v="1"/>
  </r>
  <r>
    <n v="19608"/>
    <x v="0"/>
    <x v="1"/>
    <n v="80000"/>
    <n v="5"/>
    <s v="Bachelors"/>
    <x v="2"/>
    <s v="Yes"/>
    <n v="4"/>
    <x v="3"/>
    <x v="1"/>
    <n v="40"/>
    <x v="0"/>
    <x v="0"/>
  </r>
  <r>
    <n v="24119"/>
    <x v="1"/>
    <x v="1"/>
    <n v="30000"/>
    <n v="0"/>
    <s v="Partial College"/>
    <x v="1"/>
    <s v="No"/>
    <n v="1"/>
    <x v="1"/>
    <x v="0"/>
    <n v="29"/>
    <x v="2"/>
    <x v="0"/>
  </r>
  <r>
    <n v="25458"/>
    <x v="0"/>
    <x v="1"/>
    <n v="20000"/>
    <n v="1"/>
    <s v="High School"/>
    <x v="3"/>
    <s v="No"/>
    <n v="1"/>
    <x v="3"/>
    <x v="0"/>
    <n v="40"/>
    <x v="0"/>
    <x v="1"/>
  </r>
  <r>
    <n v="26886"/>
    <x v="1"/>
    <x v="0"/>
    <n v="30000"/>
    <n v="0"/>
    <s v="Partial College"/>
    <x v="1"/>
    <s v="No"/>
    <n v="1"/>
    <x v="0"/>
    <x v="0"/>
    <n v="29"/>
    <x v="2"/>
    <x v="1"/>
  </r>
  <r>
    <n v="28436"/>
    <x v="1"/>
    <x v="1"/>
    <n v="30000"/>
    <n v="0"/>
    <s v="Partial College"/>
    <x v="1"/>
    <s v="No"/>
    <n v="1"/>
    <x v="0"/>
    <x v="0"/>
    <n v="30"/>
    <x v="2"/>
    <x v="1"/>
  </r>
  <r>
    <n v="19562"/>
    <x v="1"/>
    <x v="0"/>
    <n v="60000"/>
    <n v="2"/>
    <s v="Bachelors"/>
    <x v="2"/>
    <s v="Yes"/>
    <n v="1"/>
    <x v="1"/>
    <x v="1"/>
    <n v="37"/>
    <x v="0"/>
    <x v="1"/>
  </r>
  <r>
    <n v="15608"/>
    <x v="1"/>
    <x v="0"/>
    <n v="30000"/>
    <n v="0"/>
    <s v="Partial College"/>
    <x v="1"/>
    <s v="No"/>
    <n v="1"/>
    <x v="1"/>
    <x v="0"/>
    <n v="33"/>
    <x v="0"/>
    <x v="0"/>
  </r>
  <r>
    <n v="16487"/>
    <x v="1"/>
    <x v="0"/>
    <n v="30000"/>
    <n v="3"/>
    <s v="High School"/>
    <x v="0"/>
    <s v="Yes"/>
    <n v="2"/>
    <x v="2"/>
    <x v="1"/>
    <n v="55"/>
    <x v="1"/>
    <x v="0"/>
  </r>
  <r>
    <n v="17197"/>
    <x v="1"/>
    <x v="0"/>
    <n v="90000"/>
    <n v="5"/>
    <s v="Partial College"/>
    <x v="2"/>
    <s v="Yes"/>
    <n v="2"/>
    <x v="4"/>
    <x v="0"/>
    <n v="62"/>
    <x v="1"/>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2"/>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2"/>
    <x v="0"/>
  </r>
  <r>
    <n v="20430"/>
    <x v="0"/>
    <x v="1"/>
    <n v="70000"/>
    <n v="2"/>
    <s v="Partial College"/>
    <x v="0"/>
    <s v="Yes"/>
    <n v="2"/>
    <x v="2"/>
    <x v="1"/>
    <n v="52"/>
    <x v="0"/>
    <x v="1"/>
  </r>
  <r>
    <n v="27494"/>
    <x v="1"/>
    <x v="0"/>
    <n v="40000"/>
    <n v="2"/>
    <s v="Partial College"/>
    <x v="0"/>
    <s v="No"/>
    <n v="2"/>
    <x v="3"/>
    <x v="1"/>
    <n v="53"/>
    <x v="0"/>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2"/>
    <x v="1"/>
  </r>
  <r>
    <n v="24140"/>
    <x v="1"/>
    <x v="1"/>
    <n v="10000"/>
    <n v="0"/>
    <s v="Graduate Degree"/>
    <x v="3"/>
    <s v="No"/>
    <n v="0"/>
    <x v="0"/>
    <x v="0"/>
    <n v="30"/>
    <x v="2"/>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1"/>
    <x v="0"/>
  </r>
  <r>
    <n v="12871"/>
    <x v="1"/>
    <x v="0"/>
    <n v="30000"/>
    <n v="0"/>
    <s v="Partial College"/>
    <x v="1"/>
    <s v="No"/>
    <n v="1"/>
    <x v="1"/>
    <x v="0"/>
    <n v="29"/>
    <x v="2"/>
    <x v="0"/>
  </r>
  <r>
    <n v="22988"/>
    <x v="0"/>
    <x v="0"/>
    <n v="40000"/>
    <n v="2"/>
    <s v="Bachelors"/>
    <x v="4"/>
    <s v="Yes"/>
    <n v="2"/>
    <x v="2"/>
    <x v="1"/>
    <n v="66"/>
    <x v="1"/>
    <x v="1"/>
  </r>
  <r>
    <n v="15922"/>
    <x v="0"/>
    <x v="1"/>
    <n v="150000"/>
    <n v="2"/>
    <s v="High School"/>
    <x v="2"/>
    <s v="Yes"/>
    <n v="4"/>
    <x v="0"/>
    <x v="0"/>
    <n v="48"/>
    <x v="0"/>
    <x v="0"/>
  </r>
  <r>
    <n v="12344"/>
    <x v="1"/>
    <x v="0"/>
    <n v="80000"/>
    <n v="0"/>
    <s v="Bachelors"/>
    <x v="2"/>
    <s v="No"/>
    <n v="3"/>
    <x v="4"/>
    <x v="1"/>
    <n v="31"/>
    <x v="0"/>
    <x v="0"/>
  </r>
  <r>
    <n v="23627"/>
    <x v="1"/>
    <x v="0"/>
    <n v="100000"/>
    <n v="3"/>
    <s v="Partial College"/>
    <x v="4"/>
    <s v="No"/>
    <n v="4"/>
    <x v="2"/>
    <x v="0"/>
    <n v="56"/>
    <x v="1"/>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0"/>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1"/>
    <x v="1"/>
  </r>
  <r>
    <n v="19477"/>
    <x v="0"/>
    <x v="1"/>
    <n v="40000"/>
    <n v="0"/>
    <s v="Bachelors"/>
    <x v="2"/>
    <s v="Yes"/>
    <n v="0"/>
    <x v="0"/>
    <x v="0"/>
    <n v="40"/>
    <x v="0"/>
    <x v="1"/>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1"/>
    <x v="1"/>
  </r>
  <r>
    <n v="26547"/>
    <x v="1"/>
    <x v="0"/>
    <n v="30000"/>
    <n v="2"/>
    <s v="Partial College"/>
    <x v="1"/>
    <s v="No"/>
    <n v="2"/>
    <x v="2"/>
    <x v="1"/>
    <n v="60"/>
    <x v="1"/>
    <x v="1"/>
  </r>
  <r>
    <n v="22500"/>
    <x v="1"/>
    <x v="1"/>
    <n v="40000"/>
    <n v="0"/>
    <s v="Bachelors"/>
    <x v="2"/>
    <s v="No"/>
    <n v="0"/>
    <x v="0"/>
    <x v="0"/>
    <n v="40"/>
    <x v="0"/>
    <x v="1"/>
  </r>
  <r>
    <n v="23993"/>
    <x v="1"/>
    <x v="0"/>
    <n v="10000"/>
    <n v="0"/>
    <s v="Partial College"/>
    <x v="3"/>
    <s v="No"/>
    <n v="1"/>
    <x v="0"/>
    <x v="1"/>
    <n v="26"/>
    <x v="2"/>
    <x v="1"/>
  </r>
  <r>
    <n v="14832"/>
    <x v="0"/>
    <x v="1"/>
    <n v="40000"/>
    <n v="1"/>
    <s v="Bachelors"/>
    <x v="0"/>
    <s v="Yes"/>
    <n v="0"/>
    <x v="0"/>
    <x v="0"/>
    <n v="42"/>
    <x v="0"/>
    <x v="1"/>
  </r>
  <r>
    <n v="16614"/>
    <x v="0"/>
    <x v="0"/>
    <n v="80000"/>
    <n v="0"/>
    <s v="Bachelors"/>
    <x v="2"/>
    <s v="Yes"/>
    <n v="3"/>
    <x v="4"/>
    <x v="1"/>
    <n v="32"/>
    <x v="0"/>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1"/>
    <x v="0"/>
  </r>
  <r>
    <n v="12728"/>
    <x v="1"/>
    <x v="1"/>
    <n v="30000"/>
    <n v="0"/>
    <s v="Partial College"/>
    <x v="1"/>
    <s v="No"/>
    <n v="1"/>
    <x v="3"/>
    <x v="0"/>
    <n v="27"/>
    <x v="2"/>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1"/>
    <x v="0"/>
  </r>
  <r>
    <n v="23979"/>
    <x v="1"/>
    <x v="1"/>
    <n v="10000"/>
    <n v="2"/>
    <s v="Partial College"/>
    <x v="3"/>
    <s v="No"/>
    <n v="0"/>
    <x v="0"/>
    <x v="0"/>
    <n v="50"/>
    <x v="0"/>
    <x v="0"/>
  </r>
  <r>
    <n v="25605"/>
    <x v="1"/>
    <x v="0"/>
    <n v="20000"/>
    <n v="2"/>
    <s v="Partial College"/>
    <x v="3"/>
    <s v="No"/>
    <n v="1"/>
    <x v="0"/>
    <x v="0"/>
    <n v="54"/>
    <x v="0"/>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0"/>
    <x v="0"/>
  </r>
  <r>
    <n v="22402"/>
    <x v="0"/>
    <x v="1"/>
    <n v="10000"/>
    <n v="0"/>
    <s v="Partial College"/>
    <x v="3"/>
    <s v="Yes"/>
    <n v="1"/>
    <x v="1"/>
    <x v="1"/>
    <n v="25"/>
    <x v="2"/>
    <x v="1"/>
  </r>
  <r>
    <n v="15465"/>
    <x v="0"/>
    <x v="0"/>
    <n v="10000"/>
    <n v="0"/>
    <s v="Partial College"/>
    <x v="3"/>
    <s v="No"/>
    <n v="1"/>
    <x v="0"/>
    <x v="1"/>
    <n v="25"/>
    <x v="2"/>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1"/>
    <x v="0"/>
  </r>
  <r>
    <n v="23963"/>
    <x v="0"/>
    <x v="1"/>
    <n v="10000"/>
    <n v="0"/>
    <s v="Partial High School"/>
    <x v="3"/>
    <s v="No"/>
    <n v="2"/>
    <x v="0"/>
    <x v="0"/>
    <n v="33"/>
    <x v="0"/>
    <x v="0"/>
  </r>
  <r>
    <n v="17907"/>
    <x v="0"/>
    <x v="0"/>
    <n v="10000"/>
    <n v="0"/>
    <s v="Partial College"/>
    <x v="3"/>
    <s v="Yes"/>
    <n v="1"/>
    <x v="1"/>
    <x v="1"/>
    <n v="27"/>
    <x v="2"/>
    <x v="0"/>
  </r>
  <r>
    <n v="19442"/>
    <x v="1"/>
    <x v="1"/>
    <n v="50000"/>
    <n v="0"/>
    <s v="Graduate Degree"/>
    <x v="0"/>
    <s v="Yes"/>
    <n v="0"/>
    <x v="0"/>
    <x v="0"/>
    <n v="37"/>
    <x v="0"/>
    <x v="1"/>
  </r>
  <r>
    <n v="17504"/>
    <x v="1"/>
    <x v="0"/>
    <n v="80000"/>
    <n v="2"/>
    <s v="Partial College"/>
    <x v="0"/>
    <s v="Yes"/>
    <n v="2"/>
    <x v="2"/>
    <x v="1"/>
    <n v="52"/>
    <x v="0"/>
    <x v="1"/>
  </r>
  <r>
    <n v="12253"/>
    <x v="1"/>
    <x v="0"/>
    <n v="20000"/>
    <n v="0"/>
    <s v="Partial College"/>
    <x v="3"/>
    <s v="Yes"/>
    <n v="0"/>
    <x v="0"/>
    <x v="1"/>
    <n v="29"/>
    <x v="2"/>
    <x v="1"/>
  </r>
  <r>
    <n v="27304"/>
    <x v="1"/>
    <x v="0"/>
    <n v="110000"/>
    <n v="2"/>
    <s v="Partial College"/>
    <x v="2"/>
    <s v="No"/>
    <n v="3"/>
    <x v="2"/>
    <x v="0"/>
    <n v="48"/>
    <x v="0"/>
    <x v="0"/>
  </r>
  <r>
    <n v="14191"/>
    <x v="0"/>
    <x v="1"/>
    <n v="160000"/>
    <n v="4"/>
    <s v="Partial College"/>
    <x v="2"/>
    <s v="No"/>
    <n v="2"/>
    <x v="4"/>
    <x v="0"/>
    <n v="55"/>
    <x v="1"/>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1"/>
    <x v="1"/>
  </r>
  <r>
    <n v="19445"/>
    <x v="0"/>
    <x v="0"/>
    <n v="10000"/>
    <n v="2"/>
    <s v="High School"/>
    <x v="3"/>
    <s v="No"/>
    <n v="1"/>
    <x v="0"/>
    <x v="0"/>
    <n v="38"/>
    <x v="0"/>
    <x v="0"/>
  </r>
  <r>
    <n v="15265"/>
    <x v="1"/>
    <x v="1"/>
    <n v="40000"/>
    <n v="2"/>
    <s v="Bachelors"/>
    <x v="4"/>
    <s v="Yes"/>
    <n v="2"/>
    <x v="2"/>
    <x v="1"/>
    <n v="66"/>
    <x v="1"/>
    <x v="1"/>
  </r>
  <r>
    <n v="28918"/>
    <x v="0"/>
    <x v="0"/>
    <n v="130000"/>
    <n v="4"/>
    <s v="High School"/>
    <x v="4"/>
    <s v="No"/>
    <n v="4"/>
    <x v="4"/>
    <x v="0"/>
    <n v="58"/>
    <x v="1"/>
    <x v="0"/>
  </r>
  <r>
    <n v="15799"/>
    <x v="0"/>
    <x v="0"/>
    <n v="90000"/>
    <n v="1"/>
    <s v="Bachelors"/>
    <x v="2"/>
    <s v="Yes"/>
    <n v="1"/>
    <x v="1"/>
    <x v="1"/>
    <n v="47"/>
    <x v="0"/>
    <x v="1"/>
  </r>
  <r>
    <n v="11047"/>
    <x v="0"/>
    <x v="0"/>
    <n v="30000"/>
    <n v="3"/>
    <s v="High School"/>
    <x v="0"/>
    <s v="No"/>
    <n v="2"/>
    <x v="3"/>
    <x v="1"/>
    <n v="56"/>
    <x v="1"/>
    <x v="1"/>
  </r>
  <r>
    <n v="18151"/>
    <x v="1"/>
    <x v="1"/>
    <n v="80000"/>
    <n v="5"/>
    <s v="Partial College"/>
    <x v="2"/>
    <s v="No"/>
    <n v="2"/>
    <x v="4"/>
    <x v="0"/>
    <n v="59"/>
    <x v="1"/>
    <x v="0"/>
  </r>
  <r>
    <n v="20606"/>
    <x v="0"/>
    <x v="0"/>
    <n v="70000"/>
    <n v="0"/>
    <s v="Bachelors"/>
    <x v="2"/>
    <s v="Yes"/>
    <n v="4"/>
    <x v="4"/>
    <x v="1"/>
    <n v="32"/>
    <x v="0"/>
    <x v="1"/>
  </r>
  <r>
    <n v="19482"/>
    <x v="0"/>
    <x v="1"/>
    <n v="30000"/>
    <n v="1"/>
    <s v="Partial College"/>
    <x v="1"/>
    <s v="Yes"/>
    <n v="1"/>
    <x v="0"/>
    <x v="0"/>
    <n v="44"/>
    <x v="0"/>
    <x v="1"/>
  </r>
  <r>
    <n v="16489"/>
    <x v="0"/>
    <x v="1"/>
    <n v="30000"/>
    <n v="3"/>
    <s v="High School"/>
    <x v="0"/>
    <s v="Yes"/>
    <n v="2"/>
    <x v="2"/>
    <x v="1"/>
    <n v="55"/>
    <x v="1"/>
    <x v="0"/>
  </r>
  <r>
    <n v="26944"/>
    <x v="1"/>
    <x v="1"/>
    <n v="90000"/>
    <n v="2"/>
    <s v="High School"/>
    <x v="3"/>
    <s v="Yes"/>
    <n v="0"/>
    <x v="0"/>
    <x v="0"/>
    <n v="36"/>
    <x v="0"/>
    <x v="1"/>
  </r>
  <r>
    <n v="15682"/>
    <x v="1"/>
    <x v="0"/>
    <n v="80000"/>
    <n v="5"/>
    <s v="Bachelors"/>
    <x v="4"/>
    <s v="Yes"/>
    <n v="2"/>
    <x v="4"/>
    <x v="0"/>
    <n v="62"/>
    <x v="1"/>
    <x v="0"/>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2"/>
    <x v="1"/>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0"/>
    <x v="1"/>
  </r>
  <r>
    <n v="11453"/>
    <x v="1"/>
    <x v="1"/>
    <n v="80000"/>
    <n v="0"/>
    <s v="Bachelors"/>
    <x v="2"/>
    <s v="No"/>
    <n v="3"/>
    <x v="4"/>
    <x v="1"/>
    <n v="33"/>
    <x v="0"/>
    <x v="1"/>
  </r>
  <r>
    <n v="24584"/>
    <x v="1"/>
    <x v="1"/>
    <n v="60000"/>
    <n v="0"/>
    <s v="Bachelors"/>
    <x v="2"/>
    <s v="No"/>
    <n v="3"/>
    <x v="1"/>
    <x v="1"/>
    <n v="31"/>
    <x v="0"/>
    <x v="0"/>
  </r>
  <r>
    <n v="12585"/>
    <x v="0"/>
    <x v="1"/>
    <n v="10000"/>
    <n v="1"/>
    <s v="High School"/>
    <x v="3"/>
    <s v="Yes"/>
    <n v="0"/>
    <x v="1"/>
    <x v="1"/>
    <n v="27"/>
    <x v="2"/>
    <x v="1"/>
  </r>
  <r>
    <n v="18626"/>
    <x v="1"/>
    <x v="1"/>
    <n v="40000"/>
    <n v="2"/>
    <s v="Partial College"/>
    <x v="1"/>
    <s v="Yes"/>
    <n v="0"/>
    <x v="3"/>
    <x v="0"/>
    <n v="33"/>
    <x v="0"/>
    <x v="1"/>
  </r>
  <r>
    <n v="29298"/>
    <x v="1"/>
    <x v="0"/>
    <n v="60000"/>
    <n v="1"/>
    <s v="Partial College"/>
    <x v="0"/>
    <s v="Yes"/>
    <n v="1"/>
    <x v="2"/>
    <x v="1"/>
    <n v="46"/>
    <x v="0"/>
    <x v="1"/>
  </r>
  <r>
    <n v="24842"/>
    <x v="1"/>
    <x v="0"/>
    <n v="90000"/>
    <n v="3"/>
    <s v="High School"/>
    <x v="2"/>
    <s v="No"/>
    <n v="1"/>
    <x v="1"/>
    <x v="0"/>
    <n v="51"/>
    <x v="0"/>
    <x v="0"/>
  </r>
  <r>
    <n v="15657"/>
    <x v="0"/>
    <x v="1"/>
    <n v="30000"/>
    <n v="3"/>
    <s v="Graduate Degree"/>
    <x v="1"/>
    <s v="Yes"/>
    <n v="0"/>
    <x v="0"/>
    <x v="0"/>
    <n v="46"/>
    <x v="0"/>
    <x v="1"/>
  </r>
  <r>
    <n v="11415"/>
    <x v="1"/>
    <x v="1"/>
    <n v="90000"/>
    <n v="5"/>
    <s v="Partial College"/>
    <x v="2"/>
    <s v="No"/>
    <n v="2"/>
    <x v="4"/>
    <x v="0"/>
    <n v="62"/>
    <x v="1"/>
    <x v="0"/>
  </r>
  <r>
    <n v="28729"/>
    <x v="1"/>
    <x v="0"/>
    <n v="20000"/>
    <n v="0"/>
    <s v="Partial High School"/>
    <x v="3"/>
    <s v="Yes"/>
    <n v="2"/>
    <x v="3"/>
    <x v="0"/>
    <n v="26"/>
    <x v="2"/>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2"/>
    <x v="0"/>
  </r>
  <r>
    <n v="11451"/>
    <x v="1"/>
    <x v="1"/>
    <n v="70000"/>
    <n v="0"/>
    <s v="Bachelors"/>
    <x v="2"/>
    <s v="No"/>
    <n v="4"/>
    <x v="4"/>
    <x v="1"/>
    <n v="31"/>
    <x v="0"/>
    <x v="1"/>
  </r>
  <r>
    <n v="25553"/>
    <x v="0"/>
    <x v="1"/>
    <n v="30000"/>
    <n v="1"/>
    <s v="Bachelors"/>
    <x v="1"/>
    <s v="Yes"/>
    <n v="0"/>
    <x v="0"/>
    <x v="0"/>
    <n v="65"/>
    <x v="1"/>
    <x v="1"/>
  </r>
  <r>
    <n v="27951"/>
    <x v="1"/>
    <x v="1"/>
    <n v="80000"/>
    <n v="4"/>
    <s v="Partial College"/>
    <x v="2"/>
    <s v="No"/>
    <n v="2"/>
    <x v="1"/>
    <x v="0"/>
    <n v="54"/>
    <x v="0"/>
    <x v="1"/>
  </r>
  <r>
    <n v="25026"/>
    <x v="0"/>
    <x v="1"/>
    <n v="20000"/>
    <n v="2"/>
    <s v="Partial High School"/>
    <x v="1"/>
    <s v="Yes"/>
    <n v="3"/>
    <x v="2"/>
    <x v="1"/>
    <n v="54"/>
    <x v="0"/>
    <x v="0"/>
  </r>
  <r>
    <n v="13673"/>
    <x v="1"/>
    <x v="0"/>
    <n v="20000"/>
    <n v="0"/>
    <s v="Partial High School"/>
    <x v="3"/>
    <s v="No"/>
    <n v="2"/>
    <x v="0"/>
    <x v="0"/>
    <n v="25"/>
    <x v="2"/>
    <x v="0"/>
  </r>
  <r>
    <n v="16043"/>
    <x v="1"/>
    <x v="1"/>
    <n v="10000"/>
    <n v="1"/>
    <s v="Bachelors"/>
    <x v="3"/>
    <s v="Yes"/>
    <n v="0"/>
    <x v="0"/>
    <x v="0"/>
    <n v="48"/>
    <x v="0"/>
    <x v="0"/>
  </r>
  <r>
    <n v="22399"/>
    <x v="1"/>
    <x v="1"/>
    <n v="10000"/>
    <n v="0"/>
    <s v="Partial College"/>
    <x v="3"/>
    <s v="Yes"/>
    <n v="1"/>
    <x v="3"/>
    <x v="1"/>
    <n v="26"/>
    <x v="2"/>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1"/>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1"/>
    <x v="0"/>
  </r>
  <r>
    <n v="22830"/>
    <x v="0"/>
    <x v="1"/>
    <n v="120000"/>
    <n v="4"/>
    <s v="Partial College"/>
    <x v="4"/>
    <s v="Yes"/>
    <n v="3"/>
    <x v="4"/>
    <x v="0"/>
    <n v="56"/>
    <x v="1"/>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2"/>
    <x v="1"/>
  </r>
  <r>
    <n v="24611"/>
    <x v="1"/>
    <x v="1"/>
    <n v="90000"/>
    <n v="0"/>
    <s v="Bachelors"/>
    <x v="2"/>
    <s v="No"/>
    <n v="4"/>
    <x v="4"/>
    <x v="1"/>
    <n v="35"/>
    <x v="0"/>
    <x v="1"/>
  </r>
  <r>
    <n v="11340"/>
    <x v="0"/>
    <x v="0"/>
    <n v="10000"/>
    <n v="1"/>
    <s v="Graduate Degree"/>
    <x v="1"/>
    <s v="Yes"/>
    <n v="0"/>
    <x v="0"/>
    <x v="0"/>
    <n v="70"/>
    <x v="1"/>
    <x v="1"/>
  </r>
  <r>
    <n v="25693"/>
    <x v="1"/>
    <x v="0"/>
    <n v="30000"/>
    <n v="5"/>
    <s v="Graduate Degree"/>
    <x v="1"/>
    <s v="Yes"/>
    <n v="0"/>
    <x v="0"/>
    <x v="0"/>
    <n v="44"/>
    <x v="0"/>
    <x v="1"/>
  </r>
  <r>
    <n v="25555"/>
    <x v="0"/>
    <x v="0"/>
    <n v="10000"/>
    <n v="0"/>
    <s v="Partial College"/>
    <x v="3"/>
    <s v="No"/>
    <n v="1"/>
    <x v="0"/>
    <x v="1"/>
    <n v="26"/>
    <x v="2"/>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2"/>
    <x v="0"/>
  </r>
  <r>
    <n v="23908"/>
    <x v="1"/>
    <x v="1"/>
    <n v="30000"/>
    <n v="1"/>
    <s v="Bachelors"/>
    <x v="1"/>
    <s v="No"/>
    <n v="1"/>
    <x v="0"/>
    <x v="0"/>
    <n v="39"/>
    <x v="0"/>
    <x v="1"/>
  </r>
  <r>
    <n v="22527"/>
    <x v="1"/>
    <x v="0"/>
    <n v="20000"/>
    <n v="0"/>
    <s v="High School"/>
    <x v="3"/>
    <s v="No"/>
    <n v="1"/>
    <x v="1"/>
    <x v="0"/>
    <n v="29"/>
    <x v="2"/>
    <x v="0"/>
  </r>
  <r>
    <n v="19057"/>
    <x v="0"/>
    <x v="0"/>
    <n v="120000"/>
    <n v="3"/>
    <s v="Bachelors"/>
    <x v="4"/>
    <s v="No"/>
    <n v="2"/>
    <x v="4"/>
    <x v="0"/>
    <n v="52"/>
    <x v="0"/>
    <x v="1"/>
  </r>
  <r>
    <n v="18494"/>
    <x v="0"/>
    <x v="1"/>
    <n v="110000"/>
    <n v="5"/>
    <s v="Bachelors"/>
    <x v="4"/>
    <s v="Yes"/>
    <n v="4"/>
    <x v="1"/>
    <x v="1"/>
    <n v="48"/>
    <x v="0"/>
    <x v="1"/>
  </r>
  <r>
    <n v="11249"/>
    <x v="0"/>
    <x v="0"/>
    <n v="130000"/>
    <n v="3"/>
    <s v="Partial College"/>
    <x v="2"/>
    <s v="Yes"/>
    <n v="3"/>
    <x v="0"/>
    <x v="0"/>
    <n v="51"/>
    <x v="0"/>
    <x v="1"/>
  </r>
  <r>
    <n v="21568"/>
    <x v="0"/>
    <x v="0"/>
    <n v="100000"/>
    <n v="0"/>
    <s v="High School"/>
    <x v="4"/>
    <s v="Yes"/>
    <n v="4"/>
    <x v="4"/>
    <x v="1"/>
    <n v="34"/>
    <x v="0"/>
    <x v="1"/>
  </r>
  <r>
    <n v="13981"/>
    <x v="0"/>
    <x v="0"/>
    <n v="10000"/>
    <n v="5"/>
    <s v="High School"/>
    <x v="0"/>
    <s v="No"/>
    <n v="3"/>
    <x v="3"/>
    <x v="1"/>
    <n v="62"/>
    <x v="1"/>
    <x v="0"/>
  </r>
  <r>
    <n v="23432"/>
    <x v="1"/>
    <x v="1"/>
    <n v="70000"/>
    <n v="0"/>
    <s v="Bachelors"/>
    <x v="2"/>
    <s v="Yes"/>
    <n v="1"/>
    <x v="2"/>
    <x v="1"/>
    <n v="37"/>
    <x v="0"/>
    <x v="1"/>
  </r>
  <r>
    <n v="22931"/>
    <x v="0"/>
    <x v="1"/>
    <n v="100000"/>
    <n v="5"/>
    <s v="Graduate Degree"/>
    <x v="4"/>
    <s v="No"/>
    <n v="1"/>
    <x v="3"/>
    <x v="1"/>
    <n v="78"/>
    <x v="1"/>
    <x v="1"/>
  </r>
  <r>
    <n v="18172"/>
    <x v="0"/>
    <x v="1"/>
    <n v="130000"/>
    <n v="4"/>
    <s v="High School"/>
    <x v="2"/>
    <s v="Yes"/>
    <n v="3"/>
    <x v="0"/>
    <x v="0"/>
    <n v="55"/>
    <x v="1"/>
    <x v="0"/>
  </r>
  <r>
    <n v="12666"/>
    <x v="1"/>
    <x v="1"/>
    <n v="60000"/>
    <n v="0"/>
    <s v="Bachelors"/>
    <x v="2"/>
    <s v="No"/>
    <n v="4"/>
    <x v="1"/>
    <x v="1"/>
    <n v="31"/>
    <x v="0"/>
    <x v="0"/>
  </r>
  <r>
    <n v="20598"/>
    <x v="0"/>
    <x v="1"/>
    <n v="100000"/>
    <n v="3"/>
    <s v="Partial High School"/>
    <x v="2"/>
    <s v="Yes"/>
    <n v="0"/>
    <x v="4"/>
    <x v="0"/>
    <n v="59"/>
    <x v="1"/>
    <x v="1"/>
  </r>
  <r>
    <n v="21375"/>
    <x v="1"/>
    <x v="1"/>
    <n v="20000"/>
    <n v="2"/>
    <s v="Partial High School"/>
    <x v="1"/>
    <s v="Yes"/>
    <n v="2"/>
    <x v="2"/>
    <x v="1"/>
    <n v="57"/>
    <x v="1"/>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1"/>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0"/>
    <x v="1"/>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2"/>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0"/>
    <x v="1"/>
  </r>
  <r>
    <n v="25665"/>
    <x v="1"/>
    <x v="0"/>
    <n v="20000"/>
    <n v="0"/>
    <s v="High School"/>
    <x v="3"/>
    <s v="No"/>
    <n v="1"/>
    <x v="3"/>
    <x v="0"/>
    <n v="28"/>
    <x v="2"/>
    <x v="0"/>
  </r>
  <r>
    <n v="24061"/>
    <x v="0"/>
    <x v="1"/>
    <n v="10000"/>
    <n v="4"/>
    <s v="Partial High School"/>
    <x v="3"/>
    <s v="Yes"/>
    <n v="1"/>
    <x v="0"/>
    <x v="0"/>
    <n v="40"/>
    <x v="0"/>
    <x v="1"/>
  </r>
  <r>
    <n v="26879"/>
    <x v="1"/>
    <x v="0"/>
    <n v="20000"/>
    <n v="0"/>
    <s v="High School"/>
    <x v="3"/>
    <s v="No"/>
    <n v="1"/>
    <x v="1"/>
    <x v="0"/>
    <n v="30"/>
    <x v="2"/>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0"/>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0"/>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0"/>
    <x v="1"/>
  </r>
  <r>
    <n v="13136"/>
    <x v="0"/>
    <x v="0"/>
    <n v="30000"/>
    <n v="2"/>
    <s v="Partial College"/>
    <x v="1"/>
    <s v="No"/>
    <n v="2"/>
    <x v="2"/>
    <x v="1"/>
    <n v="69"/>
    <x v="1"/>
    <x v="0"/>
  </r>
  <r>
    <n v="25906"/>
    <x v="1"/>
    <x v="0"/>
    <n v="10000"/>
    <n v="5"/>
    <s v="High School"/>
    <x v="0"/>
    <s v="No"/>
    <n v="2"/>
    <x v="3"/>
    <x v="1"/>
    <n v="62"/>
    <x v="1"/>
    <x v="0"/>
  </r>
  <r>
    <n v="17926"/>
    <x v="1"/>
    <x v="0"/>
    <n v="40000"/>
    <n v="0"/>
    <s v="Bachelors"/>
    <x v="1"/>
    <s v="No"/>
    <n v="0"/>
    <x v="0"/>
    <x v="1"/>
    <n v="28"/>
    <x v="2"/>
    <x v="1"/>
  </r>
  <r>
    <n v="26928"/>
    <x v="1"/>
    <x v="1"/>
    <n v="30000"/>
    <n v="1"/>
    <s v="Bachelors"/>
    <x v="1"/>
    <s v="Yes"/>
    <n v="0"/>
    <x v="0"/>
    <x v="0"/>
    <n v="62"/>
    <x v="1"/>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1"/>
    <x v="0"/>
  </r>
  <r>
    <n v="11000"/>
    <x v="0"/>
    <x v="1"/>
    <n v="90000"/>
    <n v="2"/>
    <s v="Bachelors"/>
    <x v="2"/>
    <s v="Yes"/>
    <n v="0"/>
    <x v="3"/>
    <x v="1"/>
    <n v="40"/>
    <x v="0"/>
    <x v="1"/>
  </r>
  <r>
    <n v="20974"/>
    <x v="0"/>
    <x v="1"/>
    <n v="10000"/>
    <n v="2"/>
    <s v="Bachelors"/>
    <x v="1"/>
    <s v="Yes"/>
    <n v="1"/>
    <x v="0"/>
    <x v="0"/>
    <n v="66"/>
    <x v="1"/>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0"/>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1"/>
    <x v="1"/>
  </r>
  <r>
    <n v="14154"/>
    <x v="0"/>
    <x v="1"/>
    <n v="30000"/>
    <n v="0"/>
    <s v="Bachelors"/>
    <x v="1"/>
    <s v="Yes"/>
    <n v="0"/>
    <x v="0"/>
    <x v="0"/>
    <n v="35"/>
    <x v="0"/>
    <x v="1"/>
  </r>
  <r>
    <n v="19066"/>
    <x v="0"/>
    <x v="1"/>
    <n v="130000"/>
    <n v="4"/>
    <s v="Partial College"/>
    <x v="2"/>
    <s v="No"/>
    <n v="3"/>
    <x v="4"/>
    <x v="0"/>
    <n v="54"/>
    <x v="0"/>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2"/>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1"/>
    <x v="0"/>
  </r>
  <r>
    <n v="24898"/>
    <x v="1"/>
    <x v="0"/>
    <n v="80000"/>
    <n v="0"/>
    <s v="Bachelors"/>
    <x v="2"/>
    <s v="Yes"/>
    <n v="3"/>
    <x v="4"/>
    <x v="1"/>
    <n v="32"/>
    <x v="0"/>
    <x v="0"/>
  </r>
  <r>
    <n v="19508"/>
    <x v="0"/>
    <x v="1"/>
    <n v="10000"/>
    <n v="0"/>
    <s v="Partial High School"/>
    <x v="3"/>
    <s v="No"/>
    <n v="2"/>
    <x v="0"/>
    <x v="0"/>
    <n v="30"/>
    <x v="2"/>
    <x v="0"/>
  </r>
  <r>
    <n v="11489"/>
    <x v="1"/>
    <x v="0"/>
    <n v="20000"/>
    <n v="0"/>
    <s v="Partial High School"/>
    <x v="3"/>
    <s v="No"/>
    <n v="2"/>
    <x v="3"/>
    <x v="0"/>
    <n v="35"/>
    <x v="0"/>
    <x v="1"/>
  </r>
  <r>
    <n v="18160"/>
    <x v="0"/>
    <x v="1"/>
    <n v="130000"/>
    <n v="3"/>
    <s v="High School"/>
    <x v="2"/>
    <s v="Yes"/>
    <n v="4"/>
    <x v="2"/>
    <x v="0"/>
    <n v="51"/>
    <x v="0"/>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0"/>
    <x v="1"/>
  </r>
  <r>
    <n v="14554"/>
    <x v="0"/>
    <x v="1"/>
    <n v="20000"/>
    <n v="1"/>
    <s v="Bachelors"/>
    <x v="1"/>
    <s v="Yes"/>
    <n v="0"/>
    <x v="0"/>
    <x v="0"/>
    <n v="66"/>
    <x v="1"/>
    <x v="0"/>
  </r>
  <r>
    <n v="16468"/>
    <x v="1"/>
    <x v="1"/>
    <n v="30000"/>
    <n v="0"/>
    <s v="Partial College"/>
    <x v="1"/>
    <s v="Yes"/>
    <n v="1"/>
    <x v="1"/>
    <x v="0"/>
    <n v="30"/>
    <x v="2"/>
    <x v="0"/>
  </r>
  <r>
    <n v="19174"/>
    <x v="1"/>
    <x v="0"/>
    <n v="30000"/>
    <n v="0"/>
    <s v="High School"/>
    <x v="3"/>
    <s v="No"/>
    <n v="1"/>
    <x v="1"/>
    <x v="0"/>
    <n v="32"/>
    <x v="0"/>
    <x v="1"/>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0"/>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2"/>
    <x v="1"/>
  </r>
  <r>
    <n v="27878"/>
    <x v="1"/>
    <x v="1"/>
    <n v="20000"/>
    <n v="0"/>
    <s v="Partial College"/>
    <x v="3"/>
    <s v="No"/>
    <n v="0"/>
    <x v="0"/>
    <x v="1"/>
    <n v="28"/>
    <x v="2"/>
    <x v="1"/>
  </r>
  <r>
    <n v="13572"/>
    <x v="1"/>
    <x v="1"/>
    <n v="10000"/>
    <n v="3"/>
    <s v="High School"/>
    <x v="3"/>
    <s v="Yes"/>
    <n v="0"/>
    <x v="0"/>
    <x v="0"/>
    <n v="37"/>
    <x v="0"/>
    <x v="1"/>
  </r>
  <r>
    <n v="27941"/>
    <x v="0"/>
    <x v="0"/>
    <n v="80000"/>
    <n v="4"/>
    <s v="Partial College"/>
    <x v="2"/>
    <s v="Yes"/>
    <n v="2"/>
    <x v="1"/>
    <x v="0"/>
    <n v="53"/>
    <x v="0"/>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0"/>
    <x v="0"/>
  </r>
  <r>
    <n v="23608"/>
    <x v="0"/>
    <x v="0"/>
    <n v="150000"/>
    <n v="3"/>
    <s v="High School"/>
    <x v="2"/>
    <s v="Yes"/>
    <n v="3"/>
    <x v="0"/>
    <x v="0"/>
    <n v="51"/>
    <x v="0"/>
    <x v="1"/>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2"/>
    <x v="0"/>
  </r>
  <r>
    <n v="13082"/>
    <x v="1"/>
    <x v="1"/>
    <n v="130000"/>
    <n v="0"/>
    <s v="Graduate Degree"/>
    <x v="4"/>
    <s v="Yes"/>
    <n v="0"/>
    <x v="1"/>
    <x v="1"/>
    <n v="48"/>
    <x v="0"/>
    <x v="1"/>
  </r>
  <r>
    <n v="22518"/>
    <x v="1"/>
    <x v="0"/>
    <n v="30000"/>
    <n v="3"/>
    <s v="Partial College"/>
    <x v="1"/>
    <s v="No"/>
    <n v="2"/>
    <x v="0"/>
    <x v="0"/>
    <n v="27"/>
    <x v="2"/>
    <x v="1"/>
  </r>
  <r>
    <n v="13687"/>
    <x v="0"/>
    <x v="1"/>
    <n v="40000"/>
    <n v="1"/>
    <s v="Bachelors"/>
    <x v="0"/>
    <s v="Yes"/>
    <n v="1"/>
    <x v="0"/>
    <x v="0"/>
    <n v="33"/>
    <x v="0"/>
    <x v="1"/>
  </r>
  <r>
    <n v="23571"/>
    <x v="0"/>
    <x v="0"/>
    <n v="40000"/>
    <n v="2"/>
    <s v="Bachelors"/>
    <x v="4"/>
    <s v="Yes"/>
    <n v="2"/>
    <x v="0"/>
    <x v="1"/>
    <n v="66"/>
    <x v="1"/>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1"/>
    <x v="1"/>
  </r>
  <r>
    <n v="25752"/>
    <x v="1"/>
    <x v="0"/>
    <n v="20000"/>
    <n v="2"/>
    <s v="Partial College"/>
    <x v="3"/>
    <s v="No"/>
    <n v="1"/>
    <x v="0"/>
    <x v="0"/>
    <n v="53"/>
    <x v="0"/>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2"/>
    <x v="0"/>
  </r>
  <r>
    <n v="16179"/>
    <x v="1"/>
    <x v="0"/>
    <n v="80000"/>
    <n v="5"/>
    <s v="Bachelors"/>
    <x v="2"/>
    <s v="Yes"/>
    <n v="4"/>
    <x v="3"/>
    <x v="1"/>
    <n v="38"/>
    <x v="0"/>
    <x v="0"/>
  </r>
  <r>
    <n v="15628"/>
    <x v="0"/>
    <x v="0"/>
    <n v="40000"/>
    <n v="1"/>
    <s v="Bachelors"/>
    <x v="0"/>
    <s v="Yes"/>
    <n v="1"/>
    <x v="0"/>
    <x v="0"/>
    <n v="89"/>
    <x v="1"/>
    <x v="0"/>
  </r>
  <r>
    <n v="20977"/>
    <x v="0"/>
    <x v="1"/>
    <n v="20000"/>
    <n v="1"/>
    <s v="Bachelors"/>
    <x v="1"/>
    <s v="Yes"/>
    <n v="0"/>
    <x v="0"/>
    <x v="0"/>
    <n v="64"/>
    <x v="1"/>
    <x v="1"/>
  </r>
  <r>
    <n v="18140"/>
    <x v="0"/>
    <x v="1"/>
    <n v="130000"/>
    <n v="3"/>
    <s v="Partial College"/>
    <x v="2"/>
    <s v="No"/>
    <n v="3"/>
    <x v="2"/>
    <x v="0"/>
    <n v="51"/>
    <x v="0"/>
    <x v="1"/>
  </r>
  <r>
    <n v="20417"/>
    <x v="0"/>
    <x v="1"/>
    <n v="30000"/>
    <n v="3"/>
    <s v="Partial College"/>
    <x v="1"/>
    <s v="No"/>
    <n v="2"/>
    <x v="2"/>
    <x v="1"/>
    <n v="56"/>
    <x v="1"/>
    <x v="0"/>
  </r>
  <r>
    <n v="18267"/>
    <x v="0"/>
    <x v="1"/>
    <n v="60000"/>
    <n v="3"/>
    <s v="Bachelors"/>
    <x v="2"/>
    <s v="Yes"/>
    <n v="2"/>
    <x v="2"/>
    <x v="1"/>
    <n v="43"/>
    <x v="0"/>
    <x v="0"/>
  </r>
  <r>
    <n v="13620"/>
    <x v="1"/>
    <x v="1"/>
    <n v="70000"/>
    <n v="0"/>
    <s v="Bachelors"/>
    <x v="2"/>
    <s v="No"/>
    <n v="3"/>
    <x v="4"/>
    <x v="1"/>
    <n v="30"/>
    <x v="2"/>
    <x v="1"/>
  </r>
  <r>
    <n v="22974"/>
    <x v="0"/>
    <x v="0"/>
    <n v="30000"/>
    <n v="2"/>
    <s v="Partial College"/>
    <x v="1"/>
    <s v="Yes"/>
    <n v="2"/>
    <x v="2"/>
    <x v="1"/>
    <n v="69"/>
    <x v="1"/>
    <x v="0"/>
  </r>
  <r>
    <n v="13586"/>
    <x v="0"/>
    <x v="1"/>
    <n v="80000"/>
    <n v="4"/>
    <s v="Partial College"/>
    <x v="2"/>
    <s v="Yes"/>
    <n v="2"/>
    <x v="4"/>
    <x v="0"/>
    <n v="53"/>
    <x v="0"/>
    <x v="0"/>
  </r>
  <r>
    <n v="17978"/>
    <x v="0"/>
    <x v="1"/>
    <n v="40000"/>
    <n v="0"/>
    <s v="Graduate Degree"/>
    <x v="1"/>
    <s v="Yes"/>
    <n v="0"/>
    <x v="0"/>
    <x v="0"/>
    <n v="37"/>
    <x v="0"/>
    <x v="1"/>
  </r>
  <r>
    <n v="12581"/>
    <x v="1"/>
    <x v="0"/>
    <n v="10000"/>
    <n v="0"/>
    <s v="Partial College"/>
    <x v="3"/>
    <s v="No"/>
    <n v="1"/>
    <x v="0"/>
    <x v="1"/>
    <n v="28"/>
    <x v="2"/>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1"/>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0"/>
    <x v="0"/>
  </r>
  <r>
    <n v="23962"/>
    <x v="0"/>
    <x v="0"/>
    <n v="10000"/>
    <n v="0"/>
    <s v="Partial High School"/>
    <x v="3"/>
    <s v="Yes"/>
    <n v="2"/>
    <x v="3"/>
    <x v="0"/>
    <n v="32"/>
    <x v="0"/>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1"/>
    <x v="0"/>
  </r>
  <r>
    <n v="27771"/>
    <x v="1"/>
    <x v="1"/>
    <n v="30000"/>
    <n v="1"/>
    <s v="Bachelors"/>
    <x v="1"/>
    <s v="Yes"/>
    <n v="1"/>
    <x v="3"/>
    <x v="0"/>
    <n v="39"/>
    <x v="0"/>
    <x v="1"/>
  </r>
  <r>
    <n v="26167"/>
    <x v="1"/>
    <x v="0"/>
    <n v="40000"/>
    <n v="2"/>
    <s v="Bachelors"/>
    <x v="4"/>
    <s v="No"/>
    <n v="1"/>
    <x v="2"/>
    <x v="1"/>
    <n v="53"/>
    <x v="0"/>
    <x v="1"/>
  </r>
  <r>
    <n v="25792"/>
    <x v="1"/>
    <x v="0"/>
    <n v="110000"/>
    <n v="3"/>
    <s v="Bachelors"/>
    <x v="4"/>
    <s v="Yes"/>
    <n v="4"/>
    <x v="4"/>
    <x v="0"/>
    <n v="53"/>
    <x v="0"/>
    <x v="0"/>
  </r>
  <r>
    <n v="11555"/>
    <x v="0"/>
    <x v="0"/>
    <n v="40000"/>
    <n v="1"/>
    <s v="Bachelors"/>
    <x v="1"/>
    <s v="Yes"/>
    <n v="0"/>
    <x v="0"/>
    <x v="0"/>
    <n v="80"/>
    <x v="1"/>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0"/>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0"/>
    <x v="0"/>
  </r>
  <r>
    <n v="22821"/>
    <x v="0"/>
    <x v="0"/>
    <n v="130000"/>
    <n v="3"/>
    <s v="Partial College"/>
    <x v="2"/>
    <s v="Yes"/>
    <n v="4"/>
    <x v="0"/>
    <x v="0"/>
    <n v="52"/>
    <x v="0"/>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1"/>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1"/>
    <x v="0"/>
  </r>
  <r>
    <n v="11576"/>
    <x v="0"/>
    <x v="1"/>
    <n v="30000"/>
    <n v="1"/>
    <s v="Bachelors"/>
    <x v="0"/>
    <s v="Yes"/>
    <n v="2"/>
    <x v="0"/>
    <x v="0"/>
    <n v="41"/>
    <x v="0"/>
    <x v="1"/>
  </r>
  <r>
    <n v="19255"/>
    <x v="1"/>
    <x v="1"/>
    <n v="10000"/>
    <n v="2"/>
    <s v="Partial College"/>
    <x v="3"/>
    <s v="Yes"/>
    <n v="1"/>
    <x v="0"/>
    <x v="0"/>
    <n v="51"/>
    <x v="0"/>
    <x v="1"/>
  </r>
  <r>
    <n v="18153"/>
    <x v="0"/>
    <x v="0"/>
    <n v="100000"/>
    <n v="2"/>
    <s v="Bachelors"/>
    <x v="4"/>
    <s v="Yes"/>
    <n v="4"/>
    <x v="4"/>
    <x v="0"/>
    <n v="59"/>
    <x v="1"/>
    <x v="0"/>
  </r>
  <r>
    <n v="14547"/>
    <x v="0"/>
    <x v="1"/>
    <n v="10000"/>
    <n v="2"/>
    <s v="Partial College"/>
    <x v="3"/>
    <s v="Yes"/>
    <n v="0"/>
    <x v="3"/>
    <x v="0"/>
    <n v="51"/>
    <x v="0"/>
    <x v="0"/>
  </r>
  <r>
    <n v="24901"/>
    <x v="1"/>
    <x v="1"/>
    <n v="110000"/>
    <n v="0"/>
    <s v="Partial College"/>
    <x v="4"/>
    <s v="No"/>
    <n v="3"/>
    <x v="4"/>
    <x v="1"/>
    <n v="32"/>
    <x v="0"/>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1"/>
    <x v="0"/>
  </r>
  <r>
    <n v="19389"/>
    <x v="1"/>
    <x v="1"/>
    <n v="30000"/>
    <n v="0"/>
    <s v="Partial College"/>
    <x v="1"/>
    <s v="No"/>
    <n v="1"/>
    <x v="1"/>
    <x v="0"/>
    <n v="28"/>
    <x v="2"/>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0"/>
    <x v="0"/>
  </r>
  <r>
    <n v="15019"/>
    <x v="1"/>
    <x v="0"/>
    <n v="30000"/>
    <n v="3"/>
    <s v="High School"/>
    <x v="0"/>
    <s v="Yes"/>
    <n v="2"/>
    <x v="2"/>
    <x v="1"/>
    <n v="55"/>
    <x v="1"/>
    <x v="0"/>
  </r>
  <r>
    <n v="28488"/>
    <x v="1"/>
    <x v="1"/>
    <n v="20000"/>
    <n v="0"/>
    <s v="Partial College"/>
    <x v="3"/>
    <s v="Yes"/>
    <n v="0"/>
    <x v="0"/>
    <x v="1"/>
    <n v="28"/>
    <x v="2"/>
    <x v="1"/>
  </r>
  <r>
    <n v="21891"/>
    <x v="0"/>
    <x v="0"/>
    <n v="110000"/>
    <n v="0"/>
    <s v="High School"/>
    <x v="4"/>
    <s v="Yes"/>
    <n v="3"/>
    <x v="4"/>
    <x v="1"/>
    <n v="34"/>
    <x v="0"/>
    <x v="1"/>
  </r>
  <r>
    <n v="27814"/>
    <x v="1"/>
    <x v="0"/>
    <n v="30000"/>
    <n v="3"/>
    <s v="Partial College"/>
    <x v="1"/>
    <s v="No"/>
    <n v="1"/>
    <x v="0"/>
    <x v="0"/>
    <n v="26"/>
    <x v="2"/>
    <x v="0"/>
  </r>
  <r>
    <n v="22175"/>
    <x v="0"/>
    <x v="0"/>
    <n v="30000"/>
    <n v="3"/>
    <s v="High School"/>
    <x v="0"/>
    <s v="Yes"/>
    <n v="2"/>
    <x v="2"/>
    <x v="1"/>
    <n v="53"/>
    <x v="0"/>
    <x v="1"/>
  </r>
  <r>
    <n v="29447"/>
    <x v="1"/>
    <x v="0"/>
    <n v="10000"/>
    <n v="2"/>
    <s v="Bachelors"/>
    <x v="1"/>
    <s v="No"/>
    <n v="1"/>
    <x v="1"/>
    <x v="0"/>
    <n v="68"/>
    <x v="1"/>
    <x v="0"/>
  </r>
  <r>
    <n v="19784"/>
    <x v="0"/>
    <x v="0"/>
    <n v="80000"/>
    <n v="2"/>
    <s v="High School"/>
    <x v="0"/>
    <s v="Yes"/>
    <n v="2"/>
    <x v="2"/>
    <x v="1"/>
    <n v="50"/>
    <x v="0"/>
    <x v="1"/>
  </r>
  <r>
    <n v="27824"/>
    <x v="1"/>
    <x v="0"/>
    <n v="30000"/>
    <n v="3"/>
    <s v="Partial College"/>
    <x v="1"/>
    <s v="Yes"/>
    <n v="2"/>
    <x v="0"/>
    <x v="0"/>
    <n v="28"/>
    <x v="2"/>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0"/>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0"/>
    <x v="0"/>
  </r>
  <r>
    <n v="25307"/>
    <x v="0"/>
    <x v="0"/>
    <n v="40000"/>
    <n v="1"/>
    <s v="Bachelors"/>
    <x v="0"/>
    <s v="Yes"/>
    <n v="1"/>
    <x v="3"/>
    <x v="0"/>
    <n v="32"/>
    <x v="0"/>
    <x v="1"/>
  </r>
  <r>
    <n v="14278"/>
    <x v="0"/>
    <x v="0"/>
    <n v="130000"/>
    <n v="0"/>
    <s v="Graduate Degree"/>
    <x v="4"/>
    <s v="Yes"/>
    <n v="1"/>
    <x v="4"/>
    <x v="1"/>
    <n v="48"/>
    <x v="0"/>
    <x v="0"/>
  </r>
  <r>
    <n v="20711"/>
    <x v="0"/>
    <x v="0"/>
    <n v="40000"/>
    <n v="1"/>
    <s v="Bachelors"/>
    <x v="0"/>
    <s v="Yes"/>
    <n v="0"/>
    <x v="3"/>
    <x v="0"/>
    <n v="32"/>
    <x v="0"/>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1"/>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0"/>
    <x v="1"/>
  </r>
  <r>
    <n v="26385"/>
    <x v="1"/>
    <x v="1"/>
    <n v="120000"/>
    <n v="3"/>
    <s v="High School"/>
    <x v="2"/>
    <s v="No"/>
    <n v="4"/>
    <x v="2"/>
    <x v="0"/>
    <n v="50"/>
    <x v="0"/>
    <x v="0"/>
  </r>
  <r>
    <n v="12236"/>
    <x v="0"/>
    <x v="0"/>
    <n v="20000"/>
    <n v="1"/>
    <s v="Partial College"/>
    <x v="3"/>
    <s v="Yes"/>
    <n v="0"/>
    <x v="0"/>
    <x v="0"/>
    <n v="65"/>
    <x v="1"/>
    <x v="0"/>
  </r>
  <r>
    <n v="21560"/>
    <x v="0"/>
    <x v="1"/>
    <n v="120000"/>
    <n v="0"/>
    <s v="Partial High School"/>
    <x v="2"/>
    <s v="Yes"/>
    <n v="4"/>
    <x v="4"/>
    <x v="1"/>
    <n v="32"/>
    <x v="0"/>
    <x v="1"/>
  </r>
  <r>
    <n v="21554"/>
    <x v="1"/>
    <x v="0"/>
    <n v="80000"/>
    <n v="0"/>
    <s v="Bachelors"/>
    <x v="2"/>
    <s v="No"/>
    <n v="3"/>
    <x v="4"/>
    <x v="1"/>
    <n v="33"/>
    <x v="0"/>
    <x v="0"/>
  </r>
  <r>
    <n v="13662"/>
    <x v="1"/>
    <x v="1"/>
    <n v="20000"/>
    <n v="0"/>
    <s v="Partial High School"/>
    <x v="3"/>
    <s v="Yes"/>
    <n v="2"/>
    <x v="3"/>
    <x v="0"/>
    <n v="31"/>
    <x v="0"/>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1"/>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1"/>
    <x v="0"/>
  </r>
  <r>
    <n v="15612"/>
    <x v="1"/>
    <x v="1"/>
    <n v="30000"/>
    <n v="0"/>
    <s v="High School"/>
    <x v="3"/>
    <s v="No"/>
    <n v="1"/>
    <x v="3"/>
    <x v="0"/>
    <n v="28"/>
    <x v="2"/>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1"/>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0"/>
    <x v="1"/>
  </r>
  <r>
    <n v="18294"/>
    <x v="0"/>
    <x v="0"/>
    <n v="90000"/>
    <n v="1"/>
    <s v="Bachelors"/>
    <x v="2"/>
    <s v="Yes"/>
    <n v="1"/>
    <x v="2"/>
    <x v="1"/>
    <n v="46"/>
    <x v="0"/>
    <x v="0"/>
  </r>
  <r>
    <n v="28564"/>
    <x v="1"/>
    <x v="0"/>
    <n v="40000"/>
    <n v="2"/>
    <s v="Partial College"/>
    <x v="1"/>
    <s v="Yes"/>
    <n v="0"/>
    <x v="3"/>
    <x v="0"/>
    <n v="33"/>
    <x v="0"/>
    <x v="1"/>
  </r>
  <r>
    <n v="28521"/>
    <x v="1"/>
    <x v="1"/>
    <n v="40000"/>
    <n v="0"/>
    <s v="Graduate Degree"/>
    <x v="1"/>
    <s v="No"/>
    <n v="0"/>
    <x v="0"/>
    <x v="0"/>
    <n v="36"/>
    <x v="0"/>
    <x v="1"/>
  </r>
  <r>
    <n v="15450"/>
    <x v="0"/>
    <x v="1"/>
    <n v="10000"/>
    <n v="1"/>
    <s v="Graduate Degree"/>
    <x v="1"/>
    <s v="Yes"/>
    <n v="0"/>
    <x v="0"/>
    <x v="0"/>
    <n v="70"/>
    <x v="1"/>
    <x v="0"/>
  </r>
  <r>
    <n v="25681"/>
    <x v="1"/>
    <x v="0"/>
    <n v="30000"/>
    <n v="0"/>
    <s v="Partial College"/>
    <x v="1"/>
    <s v="No"/>
    <n v="1"/>
    <x v="1"/>
    <x v="0"/>
    <n v="31"/>
    <x v="0"/>
    <x v="1"/>
  </r>
  <r>
    <n v="19491"/>
    <x v="1"/>
    <x v="1"/>
    <n v="30000"/>
    <n v="2"/>
    <s v="Partial College"/>
    <x v="1"/>
    <s v="Yes"/>
    <n v="2"/>
    <x v="0"/>
    <x v="0"/>
    <n v="42"/>
    <x v="0"/>
    <x v="0"/>
  </r>
  <r>
    <n v="26415"/>
    <x v="0"/>
    <x v="0"/>
    <n v="90000"/>
    <n v="4"/>
    <s v="Partial High School"/>
    <x v="0"/>
    <s v="Yes"/>
    <n v="4"/>
    <x v="4"/>
    <x v="0"/>
    <n v="58"/>
    <x v="1"/>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0"/>
    <x v="1"/>
  </r>
  <r>
    <n v="23707"/>
    <x v="1"/>
    <x v="1"/>
    <n v="70000"/>
    <n v="5"/>
    <s v="Bachelors"/>
    <x v="4"/>
    <s v="Yes"/>
    <n v="3"/>
    <x v="4"/>
    <x v="2"/>
    <n v="60"/>
    <x v="1"/>
    <x v="1"/>
  </r>
  <r>
    <n v="27650"/>
    <x v="0"/>
    <x v="1"/>
    <n v="70000"/>
    <n v="4"/>
    <s v="High School"/>
    <x v="2"/>
    <s v="Yes"/>
    <n v="0"/>
    <x v="2"/>
    <x v="2"/>
    <n v="51"/>
    <x v="0"/>
    <x v="0"/>
  </r>
  <r>
    <n v="24981"/>
    <x v="0"/>
    <x v="1"/>
    <n v="60000"/>
    <n v="2"/>
    <s v="Partial College"/>
    <x v="2"/>
    <s v="Yes"/>
    <n v="2"/>
    <x v="4"/>
    <x v="2"/>
    <n v="56"/>
    <x v="1"/>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0"/>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2"/>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0"/>
    <x v="1"/>
  </r>
  <r>
    <n v="16337"/>
    <x v="0"/>
    <x v="1"/>
    <n v="60000"/>
    <n v="0"/>
    <s v="Partial College"/>
    <x v="0"/>
    <s v="No"/>
    <n v="2"/>
    <x v="3"/>
    <x v="2"/>
    <n v="29"/>
    <x v="2"/>
    <x v="0"/>
  </r>
  <r>
    <n v="24357"/>
    <x v="0"/>
    <x v="1"/>
    <n v="80000"/>
    <n v="3"/>
    <s v="Bachelors"/>
    <x v="2"/>
    <s v="Yes"/>
    <n v="1"/>
    <x v="1"/>
    <x v="2"/>
    <n v="48"/>
    <x v="0"/>
    <x v="1"/>
  </r>
  <r>
    <n v="18613"/>
    <x v="1"/>
    <x v="1"/>
    <n v="70000"/>
    <n v="0"/>
    <s v="Bachelors"/>
    <x v="2"/>
    <s v="No"/>
    <n v="1"/>
    <x v="1"/>
    <x v="2"/>
    <n v="37"/>
    <x v="0"/>
    <x v="1"/>
  </r>
  <r>
    <n v="12207"/>
    <x v="1"/>
    <x v="1"/>
    <n v="80000"/>
    <n v="4"/>
    <s v="Bachelors"/>
    <x v="4"/>
    <s v="Yes"/>
    <n v="0"/>
    <x v="2"/>
    <x v="2"/>
    <n v="66"/>
    <x v="1"/>
    <x v="1"/>
  </r>
  <r>
    <n v="18052"/>
    <x v="0"/>
    <x v="0"/>
    <n v="60000"/>
    <n v="1"/>
    <s v="Partial College"/>
    <x v="0"/>
    <s v="Yes"/>
    <n v="1"/>
    <x v="0"/>
    <x v="2"/>
    <n v="45"/>
    <x v="0"/>
    <x v="1"/>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1"/>
    <x v="0"/>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1"/>
    <x v="0"/>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2"/>
    <x v="0"/>
  </r>
  <r>
    <n v="13233"/>
    <x v="0"/>
    <x v="1"/>
    <n v="60000"/>
    <n v="2"/>
    <s v="Partial College"/>
    <x v="2"/>
    <s v="Yes"/>
    <n v="1"/>
    <x v="4"/>
    <x v="2"/>
    <n v="57"/>
    <x v="1"/>
    <x v="1"/>
  </r>
  <r>
    <n v="25909"/>
    <x v="0"/>
    <x v="1"/>
    <n v="60000"/>
    <n v="0"/>
    <s v="Partial College"/>
    <x v="0"/>
    <s v="Yes"/>
    <n v="1"/>
    <x v="2"/>
    <x v="2"/>
    <n v="27"/>
    <x v="2"/>
    <x v="1"/>
  </r>
  <r>
    <n v="14092"/>
    <x v="1"/>
    <x v="1"/>
    <n v="30000"/>
    <n v="0"/>
    <s v="Partial High School"/>
    <x v="1"/>
    <s v="Yes"/>
    <n v="2"/>
    <x v="2"/>
    <x v="2"/>
    <n v="28"/>
    <x v="2"/>
    <x v="0"/>
  </r>
  <r>
    <n v="29143"/>
    <x v="1"/>
    <x v="0"/>
    <n v="60000"/>
    <n v="1"/>
    <s v="Bachelors"/>
    <x v="2"/>
    <s v="No"/>
    <n v="1"/>
    <x v="0"/>
    <x v="2"/>
    <n v="44"/>
    <x v="0"/>
    <x v="1"/>
  </r>
  <r>
    <n v="24941"/>
    <x v="0"/>
    <x v="1"/>
    <n v="60000"/>
    <n v="3"/>
    <s v="Bachelors"/>
    <x v="4"/>
    <s v="Yes"/>
    <n v="2"/>
    <x v="4"/>
    <x v="2"/>
    <n v="66"/>
    <x v="1"/>
    <x v="0"/>
  </r>
  <r>
    <n v="24637"/>
    <x v="0"/>
    <x v="1"/>
    <n v="40000"/>
    <n v="4"/>
    <s v="High School"/>
    <x v="2"/>
    <s v="Yes"/>
    <n v="2"/>
    <x v="4"/>
    <x v="2"/>
    <n v="64"/>
    <x v="1"/>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2"/>
    <x v="0"/>
  </r>
  <r>
    <n v="25898"/>
    <x v="0"/>
    <x v="0"/>
    <n v="70000"/>
    <n v="2"/>
    <s v="High School"/>
    <x v="2"/>
    <s v="Yes"/>
    <n v="2"/>
    <x v="1"/>
    <x v="2"/>
    <n v="53"/>
    <x v="0"/>
    <x v="0"/>
  </r>
  <r>
    <n v="24397"/>
    <x v="1"/>
    <x v="1"/>
    <n v="120000"/>
    <n v="2"/>
    <s v="Bachelors"/>
    <x v="4"/>
    <s v="No"/>
    <n v="4"/>
    <x v="3"/>
    <x v="2"/>
    <n v="40"/>
    <x v="0"/>
    <x v="0"/>
  </r>
  <r>
    <n v="19758"/>
    <x v="1"/>
    <x v="1"/>
    <n v="60000"/>
    <n v="0"/>
    <s v="Partial College"/>
    <x v="0"/>
    <s v="No"/>
    <n v="2"/>
    <x v="3"/>
    <x v="2"/>
    <n v="29"/>
    <x v="2"/>
    <x v="0"/>
  </r>
  <r>
    <n v="15529"/>
    <x v="0"/>
    <x v="1"/>
    <n v="60000"/>
    <n v="4"/>
    <s v="Bachelors"/>
    <x v="2"/>
    <s v="Yes"/>
    <n v="2"/>
    <x v="1"/>
    <x v="2"/>
    <n v="43"/>
    <x v="0"/>
    <x v="1"/>
  </r>
  <r>
    <n v="19884"/>
    <x v="0"/>
    <x v="1"/>
    <n v="60000"/>
    <n v="2"/>
    <s v="High School"/>
    <x v="2"/>
    <s v="Yes"/>
    <n v="2"/>
    <x v="1"/>
    <x v="2"/>
    <n v="55"/>
    <x v="1"/>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1"/>
    <x v="0"/>
  </r>
  <r>
    <n v="14417"/>
    <x v="1"/>
    <x v="1"/>
    <n v="60000"/>
    <n v="3"/>
    <s v="High School"/>
    <x v="2"/>
    <s v="Yes"/>
    <n v="2"/>
    <x v="4"/>
    <x v="2"/>
    <n v="54"/>
    <x v="0"/>
    <x v="1"/>
  </r>
  <r>
    <n v="17533"/>
    <x v="0"/>
    <x v="1"/>
    <n v="40000"/>
    <n v="3"/>
    <s v="Partial College"/>
    <x v="2"/>
    <s v="No"/>
    <n v="2"/>
    <x v="2"/>
    <x v="2"/>
    <n v="73"/>
    <x v="1"/>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0"/>
    <x v="0"/>
  </r>
  <r>
    <n v="23200"/>
    <x v="0"/>
    <x v="0"/>
    <n v="50000"/>
    <n v="3"/>
    <s v="Bachelors"/>
    <x v="0"/>
    <s v="Yes"/>
    <n v="2"/>
    <x v="0"/>
    <x v="2"/>
    <n v="41"/>
    <x v="0"/>
    <x v="0"/>
  </r>
  <r>
    <n v="15895"/>
    <x v="1"/>
    <x v="0"/>
    <n v="60000"/>
    <n v="2"/>
    <s v="Bachelors"/>
    <x v="4"/>
    <s v="Yes"/>
    <n v="0"/>
    <x v="4"/>
    <x v="2"/>
    <n v="58"/>
    <x v="1"/>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2"/>
    <x v="0"/>
  </r>
  <r>
    <n v="17369"/>
    <x v="1"/>
    <x v="1"/>
    <n v="30000"/>
    <n v="0"/>
    <s v="Partial College"/>
    <x v="0"/>
    <s v="Yes"/>
    <n v="1"/>
    <x v="2"/>
    <x v="2"/>
    <n v="27"/>
    <x v="2"/>
    <x v="0"/>
  </r>
  <r>
    <n v="14495"/>
    <x v="0"/>
    <x v="1"/>
    <n v="40000"/>
    <n v="3"/>
    <s v="Partial College"/>
    <x v="2"/>
    <s v="No"/>
    <n v="2"/>
    <x v="2"/>
    <x v="2"/>
    <n v="54"/>
    <x v="0"/>
    <x v="1"/>
  </r>
  <r>
    <n v="18847"/>
    <x v="0"/>
    <x v="0"/>
    <n v="60000"/>
    <n v="2"/>
    <s v="Graduate Degree"/>
    <x v="4"/>
    <s v="Yes"/>
    <n v="2"/>
    <x v="2"/>
    <x v="2"/>
    <n v="70"/>
    <x v="1"/>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1"/>
    <x v="0"/>
  </r>
  <r>
    <n v="20370"/>
    <x v="0"/>
    <x v="1"/>
    <n v="70000"/>
    <n v="3"/>
    <s v="Partial High School"/>
    <x v="0"/>
    <s v="Yes"/>
    <n v="2"/>
    <x v="2"/>
    <x v="2"/>
    <n v="52"/>
    <x v="0"/>
    <x v="0"/>
  </r>
  <r>
    <n v="20528"/>
    <x v="0"/>
    <x v="1"/>
    <n v="40000"/>
    <n v="2"/>
    <s v="Partial High School"/>
    <x v="0"/>
    <s v="Yes"/>
    <n v="2"/>
    <x v="1"/>
    <x v="2"/>
    <n v="55"/>
    <x v="1"/>
    <x v="0"/>
  </r>
  <r>
    <n v="23549"/>
    <x v="1"/>
    <x v="1"/>
    <n v="30000"/>
    <n v="0"/>
    <s v="High School"/>
    <x v="0"/>
    <s v="Yes"/>
    <n v="2"/>
    <x v="2"/>
    <x v="2"/>
    <n v="30"/>
    <x v="2"/>
    <x v="0"/>
  </r>
  <r>
    <n v="21751"/>
    <x v="0"/>
    <x v="1"/>
    <n v="60000"/>
    <n v="3"/>
    <s v="Graduate Degree"/>
    <x v="4"/>
    <s v="Yes"/>
    <n v="2"/>
    <x v="3"/>
    <x v="2"/>
    <n v="63"/>
    <x v="1"/>
    <x v="0"/>
  </r>
  <r>
    <n v="21266"/>
    <x v="1"/>
    <x v="0"/>
    <n v="80000"/>
    <n v="0"/>
    <s v="Bachelors"/>
    <x v="4"/>
    <s v="Yes"/>
    <n v="1"/>
    <x v="3"/>
    <x v="2"/>
    <n v="34"/>
    <x v="0"/>
    <x v="1"/>
  </r>
  <r>
    <n v="13388"/>
    <x v="1"/>
    <x v="1"/>
    <n v="60000"/>
    <n v="2"/>
    <s v="Partial College"/>
    <x v="2"/>
    <s v="Yes"/>
    <n v="1"/>
    <x v="4"/>
    <x v="2"/>
    <n v="56"/>
    <x v="1"/>
    <x v="0"/>
  </r>
  <r>
    <n v="18752"/>
    <x v="1"/>
    <x v="0"/>
    <n v="40000"/>
    <n v="0"/>
    <s v="High School"/>
    <x v="0"/>
    <s v="Yes"/>
    <n v="1"/>
    <x v="2"/>
    <x v="2"/>
    <n v="31"/>
    <x v="0"/>
    <x v="0"/>
  </r>
  <r>
    <n v="16917"/>
    <x v="0"/>
    <x v="1"/>
    <n v="120000"/>
    <n v="1"/>
    <s v="Bachelors"/>
    <x v="4"/>
    <s v="Yes"/>
    <n v="4"/>
    <x v="0"/>
    <x v="2"/>
    <n v="38"/>
    <x v="0"/>
    <x v="0"/>
  </r>
  <r>
    <n v="15313"/>
    <x v="0"/>
    <x v="1"/>
    <n v="60000"/>
    <n v="4"/>
    <s v="Bachelors"/>
    <x v="4"/>
    <s v="Yes"/>
    <n v="2"/>
    <x v="1"/>
    <x v="2"/>
    <n v="59"/>
    <x v="1"/>
    <x v="0"/>
  </r>
  <r>
    <n v="25329"/>
    <x v="1"/>
    <x v="0"/>
    <n v="40000"/>
    <n v="3"/>
    <s v="Partial College"/>
    <x v="1"/>
    <s v="No"/>
    <n v="2"/>
    <x v="0"/>
    <x v="2"/>
    <n v="32"/>
    <x v="0"/>
    <x v="0"/>
  </r>
  <r>
    <n v="20380"/>
    <x v="0"/>
    <x v="0"/>
    <n v="60000"/>
    <n v="3"/>
    <s v="Graduate Degree"/>
    <x v="4"/>
    <s v="Yes"/>
    <n v="2"/>
    <x v="4"/>
    <x v="2"/>
    <n v="69"/>
    <x v="1"/>
    <x v="0"/>
  </r>
  <r>
    <n v="23089"/>
    <x v="0"/>
    <x v="1"/>
    <n v="40000"/>
    <n v="0"/>
    <s v="Partial College"/>
    <x v="0"/>
    <s v="Yes"/>
    <n v="1"/>
    <x v="2"/>
    <x v="2"/>
    <n v="28"/>
    <x v="2"/>
    <x v="0"/>
  </r>
  <r>
    <n v="13749"/>
    <x v="0"/>
    <x v="1"/>
    <n v="80000"/>
    <n v="4"/>
    <s v="Graduate Degree"/>
    <x v="0"/>
    <s v="Yes"/>
    <n v="0"/>
    <x v="3"/>
    <x v="2"/>
    <n v="47"/>
    <x v="0"/>
    <x v="0"/>
  </r>
  <r>
    <n v="24943"/>
    <x v="0"/>
    <x v="1"/>
    <n v="60000"/>
    <n v="3"/>
    <s v="Bachelors"/>
    <x v="4"/>
    <s v="Yes"/>
    <n v="2"/>
    <x v="4"/>
    <x v="2"/>
    <n v="66"/>
    <x v="1"/>
    <x v="0"/>
  </r>
  <r>
    <n v="28667"/>
    <x v="1"/>
    <x v="1"/>
    <n v="70000"/>
    <n v="2"/>
    <s v="Bachelors"/>
    <x v="0"/>
    <s v="No"/>
    <n v="1"/>
    <x v="0"/>
    <x v="2"/>
    <n v="37"/>
    <x v="0"/>
    <x v="1"/>
  </r>
  <r>
    <n v="15194"/>
    <x v="1"/>
    <x v="1"/>
    <n v="120000"/>
    <n v="2"/>
    <s v="Bachelors"/>
    <x v="4"/>
    <s v="No"/>
    <n v="3"/>
    <x v="0"/>
    <x v="2"/>
    <n v="39"/>
    <x v="0"/>
    <x v="1"/>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0"/>
    <x v="1"/>
  </r>
  <r>
    <n v="12100"/>
    <x v="1"/>
    <x v="1"/>
    <n v="60000"/>
    <n v="2"/>
    <s v="Bachelors"/>
    <x v="4"/>
    <s v="Yes"/>
    <n v="0"/>
    <x v="4"/>
    <x v="2"/>
    <n v="57"/>
    <x v="1"/>
    <x v="0"/>
  </r>
  <r>
    <n v="23158"/>
    <x v="0"/>
    <x v="0"/>
    <n v="60000"/>
    <n v="1"/>
    <s v="Graduate Degree"/>
    <x v="2"/>
    <s v="No"/>
    <n v="0"/>
    <x v="0"/>
    <x v="2"/>
    <n v="35"/>
    <x v="0"/>
    <x v="1"/>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1"/>
    <x v="0"/>
  </r>
  <r>
    <n v="18058"/>
    <x v="1"/>
    <x v="0"/>
    <n v="20000"/>
    <n v="3"/>
    <s v="High School"/>
    <x v="0"/>
    <s v="Yes"/>
    <n v="2"/>
    <x v="1"/>
    <x v="2"/>
    <n v="78"/>
    <x v="1"/>
    <x v="0"/>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0"/>
    <x v="1"/>
  </r>
  <r>
    <n v="20000"/>
    <x v="0"/>
    <x v="1"/>
    <n v="60000"/>
    <n v="1"/>
    <s v="Graduate Degree"/>
    <x v="2"/>
    <s v="Yes"/>
    <n v="0"/>
    <x v="0"/>
    <x v="2"/>
    <n v="35"/>
    <x v="0"/>
    <x v="1"/>
  </r>
  <r>
    <n v="25261"/>
    <x v="0"/>
    <x v="1"/>
    <n v="40000"/>
    <n v="0"/>
    <s v="High School"/>
    <x v="0"/>
    <s v="Yes"/>
    <n v="2"/>
    <x v="2"/>
    <x v="2"/>
    <n v="27"/>
    <x v="2"/>
    <x v="0"/>
  </r>
  <r>
    <n v="17458"/>
    <x v="1"/>
    <x v="1"/>
    <n v="70000"/>
    <n v="3"/>
    <s v="High School"/>
    <x v="2"/>
    <s v="Yes"/>
    <n v="0"/>
    <x v="2"/>
    <x v="2"/>
    <n v="52"/>
    <x v="0"/>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0"/>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2"/>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2"/>
    <x v="0"/>
  </r>
  <r>
    <n v="11259"/>
    <x v="0"/>
    <x v="0"/>
    <n v="100000"/>
    <n v="4"/>
    <s v="Partial College"/>
    <x v="2"/>
    <s v="Yes"/>
    <n v="4"/>
    <x v="1"/>
    <x v="2"/>
    <n v="41"/>
    <x v="0"/>
    <x v="1"/>
  </r>
  <r>
    <n v="11200"/>
    <x v="0"/>
    <x v="1"/>
    <n v="70000"/>
    <n v="4"/>
    <s v="Bachelors"/>
    <x v="4"/>
    <s v="Yes"/>
    <n v="1"/>
    <x v="3"/>
    <x v="2"/>
    <n v="58"/>
    <x v="1"/>
    <x v="0"/>
  </r>
  <r>
    <n v="25101"/>
    <x v="0"/>
    <x v="1"/>
    <n v="60000"/>
    <n v="5"/>
    <s v="Bachelors"/>
    <x v="2"/>
    <s v="Yes"/>
    <n v="1"/>
    <x v="1"/>
    <x v="2"/>
    <n v="47"/>
    <x v="0"/>
    <x v="0"/>
  </r>
  <r>
    <n v="21801"/>
    <x v="0"/>
    <x v="0"/>
    <n v="70000"/>
    <n v="4"/>
    <s v="Partial College"/>
    <x v="2"/>
    <s v="Yes"/>
    <n v="1"/>
    <x v="3"/>
    <x v="2"/>
    <n v="55"/>
    <x v="1"/>
    <x v="0"/>
  </r>
  <r>
    <n v="25943"/>
    <x v="1"/>
    <x v="0"/>
    <n v="70000"/>
    <n v="0"/>
    <s v="Partial College"/>
    <x v="0"/>
    <s v="No"/>
    <n v="2"/>
    <x v="0"/>
    <x v="2"/>
    <n v="27"/>
    <x v="2"/>
    <x v="1"/>
  </r>
  <r>
    <n v="22127"/>
    <x v="0"/>
    <x v="1"/>
    <n v="60000"/>
    <n v="3"/>
    <s v="Graduate Degree"/>
    <x v="4"/>
    <s v="Yes"/>
    <n v="2"/>
    <x v="3"/>
    <x v="2"/>
    <n v="67"/>
    <x v="1"/>
    <x v="0"/>
  </r>
  <r>
    <n v="20414"/>
    <x v="0"/>
    <x v="0"/>
    <n v="60000"/>
    <n v="0"/>
    <s v="Partial College"/>
    <x v="0"/>
    <s v="Yes"/>
    <n v="2"/>
    <x v="2"/>
    <x v="2"/>
    <n v="29"/>
    <x v="2"/>
    <x v="0"/>
  </r>
  <r>
    <n v="23672"/>
    <x v="0"/>
    <x v="0"/>
    <n v="60000"/>
    <n v="3"/>
    <s v="Graduate Degree"/>
    <x v="4"/>
    <s v="Yes"/>
    <n v="2"/>
    <x v="3"/>
    <x v="2"/>
    <n v="67"/>
    <x v="1"/>
    <x v="0"/>
  </r>
  <r>
    <n v="29255"/>
    <x v="1"/>
    <x v="1"/>
    <n v="80000"/>
    <n v="3"/>
    <s v="Partial College"/>
    <x v="2"/>
    <s v="No"/>
    <n v="1"/>
    <x v="3"/>
    <x v="2"/>
    <n v="51"/>
    <x v="0"/>
    <x v="1"/>
  </r>
  <r>
    <n v="28815"/>
    <x v="0"/>
    <x v="0"/>
    <n v="50000"/>
    <n v="1"/>
    <s v="Graduate Degree"/>
    <x v="0"/>
    <s v="Yes"/>
    <n v="0"/>
    <x v="0"/>
    <x v="2"/>
    <n v="35"/>
    <x v="0"/>
    <x v="0"/>
  </r>
  <r>
    <n v="27753"/>
    <x v="0"/>
    <x v="1"/>
    <n v="40000"/>
    <n v="0"/>
    <s v="High School"/>
    <x v="0"/>
    <s v="No"/>
    <n v="2"/>
    <x v="3"/>
    <x v="2"/>
    <n v="30"/>
    <x v="2"/>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1"/>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2"/>
    <x v="0"/>
  </r>
  <r>
    <n v="18949"/>
    <x v="1"/>
    <x v="1"/>
    <n v="70000"/>
    <n v="0"/>
    <s v="Graduate Degree"/>
    <x v="4"/>
    <s v="Yes"/>
    <n v="2"/>
    <x v="2"/>
    <x v="2"/>
    <n v="74"/>
    <x v="1"/>
    <x v="1"/>
  </r>
  <r>
    <n v="14507"/>
    <x v="0"/>
    <x v="1"/>
    <n v="100000"/>
    <n v="2"/>
    <s v="Graduate Degree"/>
    <x v="4"/>
    <s v="Yes"/>
    <n v="3"/>
    <x v="3"/>
    <x v="2"/>
    <n v="65"/>
    <x v="1"/>
    <x v="0"/>
  </r>
  <r>
    <n v="25886"/>
    <x v="0"/>
    <x v="0"/>
    <n v="60000"/>
    <n v="2"/>
    <s v="Partial College"/>
    <x v="2"/>
    <s v="Yes"/>
    <n v="2"/>
    <x v="1"/>
    <x v="2"/>
    <n v="56"/>
    <x v="1"/>
    <x v="1"/>
  </r>
  <r>
    <n v="21441"/>
    <x v="0"/>
    <x v="1"/>
    <n v="50000"/>
    <n v="4"/>
    <s v="Bachelors"/>
    <x v="4"/>
    <s v="Yes"/>
    <n v="2"/>
    <x v="4"/>
    <x v="2"/>
    <n v="64"/>
    <x v="1"/>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0"/>
    <x v="0"/>
  </r>
  <r>
    <n v="25872"/>
    <x v="1"/>
    <x v="0"/>
    <n v="70000"/>
    <n v="2"/>
    <s v="Bachelors"/>
    <x v="4"/>
    <s v="No"/>
    <n v="1"/>
    <x v="1"/>
    <x v="2"/>
    <n v="58"/>
    <x v="1"/>
    <x v="1"/>
  </r>
  <r>
    <n v="19164"/>
    <x v="1"/>
    <x v="0"/>
    <n v="70000"/>
    <n v="0"/>
    <s v="Bachelors"/>
    <x v="2"/>
    <s v="No"/>
    <n v="1"/>
    <x v="1"/>
    <x v="2"/>
    <n v="38"/>
    <x v="0"/>
    <x v="1"/>
  </r>
  <r>
    <n v="18435"/>
    <x v="1"/>
    <x v="0"/>
    <n v="70000"/>
    <n v="5"/>
    <s v="Graduate Degree"/>
    <x v="4"/>
    <s v="Yes"/>
    <n v="2"/>
    <x v="4"/>
    <x v="2"/>
    <n v="67"/>
    <x v="1"/>
    <x v="1"/>
  </r>
  <r>
    <n v="14284"/>
    <x v="1"/>
    <x v="1"/>
    <n v="60000"/>
    <n v="0"/>
    <s v="Partial College"/>
    <x v="2"/>
    <s v="No"/>
    <n v="2"/>
    <x v="3"/>
    <x v="2"/>
    <n v="32"/>
    <x v="0"/>
    <x v="1"/>
  </r>
  <r>
    <n v="11287"/>
    <x v="0"/>
    <x v="1"/>
    <n v="70000"/>
    <n v="5"/>
    <s v="Partial College"/>
    <x v="2"/>
    <s v="No"/>
    <n v="3"/>
    <x v="2"/>
    <x v="2"/>
    <n v="45"/>
    <x v="0"/>
    <x v="0"/>
  </r>
  <r>
    <n v="13066"/>
    <x v="1"/>
    <x v="1"/>
    <n v="30000"/>
    <n v="0"/>
    <s v="High School"/>
    <x v="0"/>
    <s v="No"/>
    <n v="2"/>
    <x v="3"/>
    <x v="2"/>
    <n v="31"/>
    <x v="0"/>
    <x v="1"/>
  </r>
  <r>
    <n v="29106"/>
    <x v="1"/>
    <x v="1"/>
    <n v="40000"/>
    <n v="0"/>
    <s v="High School"/>
    <x v="0"/>
    <s v="No"/>
    <n v="2"/>
    <x v="3"/>
    <x v="2"/>
    <n v="31"/>
    <x v="0"/>
    <x v="1"/>
  </r>
  <r>
    <n v="26236"/>
    <x v="0"/>
    <x v="0"/>
    <n v="40000"/>
    <n v="3"/>
    <s v="Partial College"/>
    <x v="1"/>
    <s v="Yes"/>
    <n v="1"/>
    <x v="0"/>
    <x v="2"/>
    <n v="31"/>
    <x v="0"/>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1"/>
    <x v="0"/>
  </r>
  <r>
    <n v="21599"/>
    <x v="0"/>
    <x v="0"/>
    <n v="60000"/>
    <n v="1"/>
    <s v="Graduate Degree"/>
    <x v="2"/>
    <s v="Yes"/>
    <n v="0"/>
    <x v="1"/>
    <x v="2"/>
    <n v="36"/>
    <x v="0"/>
    <x v="1"/>
  </r>
  <r>
    <n v="22976"/>
    <x v="1"/>
    <x v="1"/>
    <n v="40000"/>
    <n v="0"/>
    <s v="High School"/>
    <x v="0"/>
    <s v="No"/>
    <n v="2"/>
    <x v="0"/>
    <x v="2"/>
    <n v="28"/>
    <x v="2"/>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1"/>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1"/>
    <x v="0"/>
  </r>
  <r>
    <n v="22252"/>
    <x v="1"/>
    <x v="0"/>
    <n v="60000"/>
    <n v="1"/>
    <s v="Graduate Degree"/>
    <x v="2"/>
    <s v="Yes"/>
    <n v="0"/>
    <x v="1"/>
    <x v="2"/>
    <n v="36"/>
    <x v="0"/>
    <x v="1"/>
  </r>
  <r>
    <n v="21260"/>
    <x v="1"/>
    <x v="0"/>
    <n v="40000"/>
    <n v="0"/>
    <s v="High School"/>
    <x v="0"/>
    <s v="Yes"/>
    <n v="2"/>
    <x v="2"/>
    <x v="2"/>
    <n v="30"/>
    <x v="2"/>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1"/>
    <x v="0"/>
  </r>
  <r>
    <n v="21770"/>
    <x v="0"/>
    <x v="1"/>
    <n v="60000"/>
    <n v="4"/>
    <s v="Bachelors"/>
    <x v="4"/>
    <s v="Yes"/>
    <n v="2"/>
    <x v="4"/>
    <x v="2"/>
    <n v="60"/>
    <x v="1"/>
    <x v="0"/>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0"/>
    <x v="1"/>
  </r>
  <r>
    <n v="12774"/>
    <x v="0"/>
    <x v="0"/>
    <n v="40000"/>
    <n v="1"/>
    <s v="Partial College"/>
    <x v="1"/>
    <s v="Yes"/>
    <n v="1"/>
    <x v="3"/>
    <x v="2"/>
    <n v="51"/>
    <x v="0"/>
    <x v="1"/>
  </r>
  <r>
    <n v="18910"/>
    <x v="1"/>
    <x v="1"/>
    <n v="30000"/>
    <n v="0"/>
    <s v="Partial College"/>
    <x v="0"/>
    <s v="Yes"/>
    <n v="2"/>
    <x v="2"/>
    <x v="2"/>
    <n v="30"/>
    <x v="2"/>
    <x v="0"/>
  </r>
  <r>
    <n v="11699"/>
    <x v="1"/>
    <x v="1"/>
    <n v="60000"/>
    <n v="0"/>
    <s v="Bachelors"/>
    <x v="0"/>
    <s v="No"/>
    <n v="2"/>
    <x v="0"/>
    <x v="2"/>
    <n v="30"/>
    <x v="2"/>
    <x v="0"/>
  </r>
  <r>
    <n v="16725"/>
    <x v="0"/>
    <x v="1"/>
    <n v="30000"/>
    <n v="0"/>
    <s v="High School"/>
    <x v="0"/>
    <s v="Yes"/>
    <n v="2"/>
    <x v="2"/>
    <x v="2"/>
    <n v="26"/>
    <x v="2"/>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2"/>
    <x v="0"/>
  </r>
  <r>
    <n v="14090"/>
    <x v="0"/>
    <x v="0"/>
    <n v="30000"/>
    <n v="0"/>
    <s v="Partial High School"/>
    <x v="1"/>
    <s v="No"/>
    <n v="2"/>
    <x v="0"/>
    <x v="2"/>
    <n v="28"/>
    <x v="2"/>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1"/>
    <x v="0"/>
  </r>
  <r>
    <n v="22014"/>
    <x v="1"/>
    <x v="1"/>
    <n v="30000"/>
    <n v="0"/>
    <s v="High School"/>
    <x v="0"/>
    <s v="Yes"/>
    <n v="2"/>
    <x v="2"/>
    <x v="2"/>
    <n v="26"/>
    <x v="2"/>
    <x v="0"/>
  </r>
  <r>
    <n v="13314"/>
    <x v="0"/>
    <x v="1"/>
    <n v="120000"/>
    <n v="1"/>
    <s v="High School"/>
    <x v="2"/>
    <s v="Yes"/>
    <n v="4"/>
    <x v="2"/>
    <x v="2"/>
    <n v="46"/>
    <x v="0"/>
    <x v="1"/>
  </r>
  <r>
    <n v="11619"/>
    <x v="1"/>
    <x v="0"/>
    <n v="50000"/>
    <n v="0"/>
    <s v="Graduate Degree"/>
    <x v="0"/>
    <s v="Yes"/>
    <n v="0"/>
    <x v="3"/>
    <x v="2"/>
    <n v="33"/>
    <x v="0"/>
    <x v="0"/>
  </r>
  <r>
    <n v="29132"/>
    <x v="1"/>
    <x v="0"/>
    <n v="40000"/>
    <n v="0"/>
    <s v="Bachelors"/>
    <x v="2"/>
    <s v="Yes"/>
    <n v="1"/>
    <x v="1"/>
    <x v="2"/>
    <n v="42"/>
    <x v="0"/>
    <x v="1"/>
  </r>
  <r>
    <n v="11199"/>
    <x v="0"/>
    <x v="0"/>
    <n v="70000"/>
    <n v="4"/>
    <s v="Bachelors"/>
    <x v="4"/>
    <s v="Yes"/>
    <n v="1"/>
    <x v="4"/>
    <x v="2"/>
    <n v="59"/>
    <x v="1"/>
    <x v="0"/>
  </r>
  <r>
    <n v="20296"/>
    <x v="1"/>
    <x v="0"/>
    <n v="60000"/>
    <n v="0"/>
    <s v="Partial College"/>
    <x v="0"/>
    <s v="No"/>
    <n v="1"/>
    <x v="3"/>
    <x v="2"/>
    <n v="33"/>
    <x v="0"/>
    <x v="1"/>
  </r>
  <r>
    <n v="17546"/>
    <x v="0"/>
    <x v="0"/>
    <n v="70000"/>
    <n v="1"/>
    <s v="Partial College"/>
    <x v="0"/>
    <s v="Yes"/>
    <n v="1"/>
    <x v="0"/>
    <x v="2"/>
    <n v="44"/>
    <x v="0"/>
    <x v="1"/>
  </r>
  <r>
    <n v="18069"/>
    <x v="0"/>
    <x v="1"/>
    <n v="70000"/>
    <n v="5"/>
    <s v="Bachelors"/>
    <x v="4"/>
    <s v="Yes"/>
    <n v="4"/>
    <x v="4"/>
    <x v="2"/>
    <n v="60"/>
    <x v="1"/>
    <x v="0"/>
  </r>
  <r>
    <n v="23712"/>
    <x v="1"/>
    <x v="0"/>
    <n v="70000"/>
    <n v="2"/>
    <s v="Bachelors"/>
    <x v="4"/>
    <s v="Yes"/>
    <n v="1"/>
    <x v="4"/>
    <x v="2"/>
    <n v="59"/>
    <x v="1"/>
    <x v="0"/>
  </r>
  <r>
    <n v="23358"/>
    <x v="0"/>
    <x v="1"/>
    <n v="60000"/>
    <n v="0"/>
    <s v="High School"/>
    <x v="2"/>
    <s v="Yes"/>
    <n v="2"/>
    <x v="2"/>
    <x v="2"/>
    <n v="32"/>
    <x v="0"/>
    <x v="1"/>
  </r>
  <r>
    <n v="20518"/>
    <x v="0"/>
    <x v="0"/>
    <n v="70000"/>
    <n v="2"/>
    <s v="Partial College"/>
    <x v="2"/>
    <s v="Yes"/>
    <n v="1"/>
    <x v="4"/>
    <x v="2"/>
    <n v="58"/>
    <x v="1"/>
    <x v="0"/>
  </r>
  <r>
    <n v="28026"/>
    <x v="0"/>
    <x v="0"/>
    <n v="40000"/>
    <n v="2"/>
    <s v="High School"/>
    <x v="2"/>
    <s v="No"/>
    <n v="2"/>
    <x v="1"/>
    <x v="2"/>
    <n v="59"/>
    <x v="1"/>
    <x v="0"/>
  </r>
  <r>
    <n v="11669"/>
    <x v="1"/>
    <x v="0"/>
    <n v="70000"/>
    <n v="2"/>
    <s v="Bachelors"/>
    <x v="0"/>
    <s v="Yes"/>
    <n v="1"/>
    <x v="1"/>
    <x v="2"/>
    <n v="38"/>
    <x v="0"/>
    <x v="0"/>
  </r>
  <r>
    <n v="16020"/>
    <x v="0"/>
    <x v="1"/>
    <n v="40000"/>
    <n v="0"/>
    <s v="High School"/>
    <x v="0"/>
    <s v="Yes"/>
    <n v="2"/>
    <x v="2"/>
    <x v="2"/>
    <n v="28"/>
    <x v="2"/>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0"/>
    <x v="1"/>
  </r>
  <r>
    <n v="14493"/>
    <x v="1"/>
    <x v="0"/>
    <n v="70000"/>
    <n v="3"/>
    <s v="Graduate Degree"/>
    <x v="4"/>
    <s v="No"/>
    <n v="2"/>
    <x v="3"/>
    <x v="2"/>
    <n v="53"/>
    <x v="0"/>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0"/>
    <x v="0"/>
  </r>
  <r>
    <n v="16144"/>
    <x v="0"/>
    <x v="1"/>
    <n v="70000"/>
    <n v="1"/>
    <s v="Graduate Degree"/>
    <x v="2"/>
    <s v="Yes"/>
    <n v="1"/>
    <x v="0"/>
    <x v="2"/>
    <n v="46"/>
    <x v="0"/>
    <x v="1"/>
  </r>
  <r>
    <n v="27731"/>
    <x v="0"/>
    <x v="1"/>
    <n v="40000"/>
    <n v="0"/>
    <s v="High School"/>
    <x v="0"/>
    <s v="Yes"/>
    <n v="2"/>
    <x v="2"/>
    <x v="2"/>
    <n v="27"/>
    <x v="2"/>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2"/>
    <x v="0"/>
  </r>
  <r>
    <n v="19634"/>
    <x v="0"/>
    <x v="1"/>
    <n v="40000"/>
    <n v="0"/>
    <s v="High School"/>
    <x v="0"/>
    <s v="Yes"/>
    <n v="1"/>
    <x v="2"/>
    <x v="2"/>
    <n v="31"/>
    <x v="0"/>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1"/>
    <x v="0"/>
  </r>
  <r>
    <n v="17657"/>
    <x v="0"/>
    <x v="1"/>
    <n v="40000"/>
    <n v="4"/>
    <s v="Partial College"/>
    <x v="1"/>
    <s v="No"/>
    <n v="0"/>
    <x v="0"/>
    <x v="2"/>
    <n v="30"/>
    <x v="2"/>
    <x v="0"/>
  </r>
  <r>
    <n v="14913"/>
    <x v="0"/>
    <x v="0"/>
    <n v="40000"/>
    <n v="1"/>
    <s v="Partial College"/>
    <x v="1"/>
    <s v="Yes"/>
    <n v="1"/>
    <x v="3"/>
    <x v="2"/>
    <n v="48"/>
    <x v="0"/>
    <x v="1"/>
  </r>
  <r>
    <n v="14077"/>
    <x v="1"/>
    <x v="1"/>
    <n v="30000"/>
    <n v="0"/>
    <s v="High School"/>
    <x v="0"/>
    <s v="Yes"/>
    <n v="2"/>
    <x v="2"/>
    <x v="2"/>
    <n v="30"/>
    <x v="2"/>
    <x v="0"/>
  </r>
  <r>
    <n v="13296"/>
    <x v="0"/>
    <x v="1"/>
    <n v="110000"/>
    <n v="1"/>
    <s v="Bachelors"/>
    <x v="4"/>
    <s v="Yes"/>
    <n v="3"/>
    <x v="2"/>
    <x v="2"/>
    <n v="45"/>
    <x v="0"/>
    <x v="0"/>
  </r>
  <r>
    <n v="20535"/>
    <x v="0"/>
    <x v="0"/>
    <n v="70000"/>
    <n v="4"/>
    <s v="Partial College"/>
    <x v="2"/>
    <s v="Yes"/>
    <n v="1"/>
    <x v="4"/>
    <x v="2"/>
    <n v="56"/>
    <x v="1"/>
    <x v="0"/>
  </r>
  <r>
    <n v="12452"/>
    <x v="0"/>
    <x v="1"/>
    <n v="60000"/>
    <n v="4"/>
    <s v="Graduate Degree"/>
    <x v="0"/>
    <s v="Yes"/>
    <n v="0"/>
    <x v="3"/>
    <x v="2"/>
    <n v="47"/>
    <x v="0"/>
    <x v="1"/>
  </r>
  <r>
    <n v="28043"/>
    <x v="0"/>
    <x v="0"/>
    <n v="60000"/>
    <n v="2"/>
    <s v="Bachelors"/>
    <x v="4"/>
    <s v="Yes"/>
    <n v="0"/>
    <x v="4"/>
    <x v="2"/>
    <n v="56"/>
    <x v="1"/>
    <x v="0"/>
  </r>
  <r>
    <n v="12957"/>
    <x v="1"/>
    <x v="0"/>
    <n v="70000"/>
    <n v="1"/>
    <s v="Bachelors"/>
    <x v="2"/>
    <s v="No"/>
    <n v="1"/>
    <x v="0"/>
    <x v="2"/>
    <n v="44"/>
    <x v="0"/>
    <x v="0"/>
  </r>
  <r>
    <n v="15412"/>
    <x v="0"/>
    <x v="1"/>
    <n v="130000"/>
    <n v="2"/>
    <s v="Graduate Degree"/>
    <x v="4"/>
    <s v="Yes"/>
    <n v="3"/>
    <x v="1"/>
    <x v="2"/>
    <n v="69"/>
    <x v="1"/>
    <x v="0"/>
  </r>
  <r>
    <n v="20514"/>
    <x v="0"/>
    <x v="0"/>
    <n v="70000"/>
    <n v="2"/>
    <s v="Partial College"/>
    <x v="2"/>
    <s v="Yes"/>
    <n v="1"/>
    <x v="1"/>
    <x v="2"/>
    <n v="59"/>
    <x v="1"/>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2"/>
    <x v="0"/>
  </r>
  <r>
    <n v="23668"/>
    <x v="0"/>
    <x v="0"/>
    <n v="40000"/>
    <n v="4"/>
    <s v="High School"/>
    <x v="2"/>
    <s v="Yes"/>
    <n v="2"/>
    <x v="2"/>
    <x v="2"/>
    <n v="59"/>
    <x v="1"/>
    <x v="1"/>
  </r>
  <r>
    <n v="27441"/>
    <x v="0"/>
    <x v="1"/>
    <n v="60000"/>
    <n v="3"/>
    <s v="High School"/>
    <x v="2"/>
    <s v="No"/>
    <n v="2"/>
    <x v="1"/>
    <x v="2"/>
    <n v="53"/>
    <x v="0"/>
    <x v="0"/>
  </r>
  <r>
    <n v="27261"/>
    <x v="0"/>
    <x v="1"/>
    <n v="40000"/>
    <n v="1"/>
    <s v="Bachelors"/>
    <x v="0"/>
    <s v="No"/>
    <n v="1"/>
    <x v="0"/>
    <x v="2"/>
    <n v="36"/>
    <x v="0"/>
    <x v="1"/>
  </r>
  <r>
    <n v="18649"/>
    <x v="1"/>
    <x v="1"/>
    <n v="30000"/>
    <n v="1"/>
    <s v="High School"/>
    <x v="1"/>
    <s v="Yes"/>
    <n v="2"/>
    <x v="3"/>
    <x v="2"/>
    <n v="51"/>
    <x v="0"/>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1"/>
    <x v="0"/>
  </r>
  <r>
    <n v="20657"/>
    <x v="1"/>
    <x v="1"/>
    <n v="50000"/>
    <n v="2"/>
    <s v="Bachelors"/>
    <x v="0"/>
    <s v="Yes"/>
    <n v="0"/>
    <x v="1"/>
    <x v="2"/>
    <n v="37"/>
    <x v="0"/>
    <x v="1"/>
  </r>
  <r>
    <n v="12882"/>
    <x v="0"/>
    <x v="1"/>
    <n v="50000"/>
    <n v="1"/>
    <s v="Graduate Degree"/>
    <x v="0"/>
    <s v="Yes"/>
    <n v="0"/>
    <x v="0"/>
    <x v="2"/>
    <n v="33"/>
    <x v="0"/>
    <x v="1"/>
  </r>
  <r>
    <n v="25908"/>
    <x v="0"/>
    <x v="0"/>
    <n v="60000"/>
    <n v="0"/>
    <s v="Partial College"/>
    <x v="0"/>
    <s v="No"/>
    <n v="1"/>
    <x v="3"/>
    <x v="2"/>
    <n v="27"/>
    <x v="2"/>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1"/>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0"/>
    <x v="0"/>
  </r>
  <r>
    <n v="26490"/>
    <x v="1"/>
    <x v="1"/>
    <n v="70000"/>
    <n v="2"/>
    <s v="Bachelors"/>
    <x v="4"/>
    <s v="No"/>
    <n v="1"/>
    <x v="1"/>
    <x v="2"/>
    <n v="59"/>
    <x v="1"/>
    <x v="1"/>
  </r>
  <r>
    <n v="13151"/>
    <x v="1"/>
    <x v="1"/>
    <n v="40000"/>
    <n v="0"/>
    <s v="High School"/>
    <x v="0"/>
    <s v="Yes"/>
    <n v="2"/>
    <x v="2"/>
    <x v="2"/>
    <n v="27"/>
    <x v="2"/>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1"/>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0"/>
    <x v="1"/>
  </r>
  <r>
    <n v="24496"/>
    <x v="1"/>
    <x v="0"/>
    <n v="40000"/>
    <n v="0"/>
    <s v="High School"/>
    <x v="0"/>
    <s v="No"/>
    <n v="2"/>
    <x v="0"/>
    <x v="2"/>
    <n v="28"/>
    <x v="2"/>
    <x v="1"/>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2"/>
    <x v="1"/>
  </r>
  <r>
    <n v="23256"/>
    <x v="1"/>
    <x v="1"/>
    <n v="30000"/>
    <n v="1"/>
    <s v="High School"/>
    <x v="1"/>
    <s v="No"/>
    <n v="1"/>
    <x v="2"/>
    <x v="2"/>
    <n v="52"/>
    <x v="0"/>
    <x v="0"/>
  </r>
  <r>
    <n v="12768"/>
    <x v="0"/>
    <x v="1"/>
    <n v="30000"/>
    <n v="1"/>
    <s v="High School"/>
    <x v="1"/>
    <s v="Yes"/>
    <n v="1"/>
    <x v="1"/>
    <x v="2"/>
    <n v="52"/>
    <x v="0"/>
    <x v="1"/>
  </r>
  <r>
    <n v="20361"/>
    <x v="0"/>
    <x v="1"/>
    <n v="50000"/>
    <n v="2"/>
    <s v="Graduate Degree"/>
    <x v="4"/>
    <s v="Yes"/>
    <n v="2"/>
    <x v="2"/>
    <x v="2"/>
    <n v="69"/>
    <x v="1"/>
    <x v="0"/>
  </r>
  <r>
    <n v="21306"/>
    <x v="1"/>
    <x v="1"/>
    <n v="60000"/>
    <n v="2"/>
    <s v="High School"/>
    <x v="2"/>
    <s v="Yes"/>
    <n v="2"/>
    <x v="2"/>
    <x v="2"/>
    <n v="51"/>
    <x v="0"/>
    <x v="0"/>
  </r>
  <r>
    <n v="13382"/>
    <x v="0"/>
    <x v="1"/>
    <n v="70000"/>
    <n v="5"/>
    <s v="Partial College"/>
    <x v="2"/>
    <s v="Yes"/>
    <n v="2"/>
    <x v="3"/>
    <x v="2"/>
    <n v="57"/>
    <x v="1"/>
    <x v="1"/>
  </r>
  <r>
    <n v="20310"/>
    <x v="1"/>
    <x v="1"/>
    <n v="60000"/>
    <n v="0"/>
    <s v="Partial College"/>
    <x v="0"/>
    <s v="Yes"/>
    <n v="1"/>
    <x v="2"/>
    <x v="2"/>
    <n v="27"/>
    <x v="2"/>
    <x v="1"/>
  </r>
  <r>
    <n v="22971"/>
    <x v="1"/>
    <x v="0"/>
    <n v="30000"/>
    <n v="0"/>
    <s v="High School"/>
    <x v="0"/>
    <s v="No"/>
    <n v="2"/>
    <x v="0"/>
    <x v="2"/>
    <n v="25"/>
    <x v="2"/>
    <x v="1"/>
  </r>
  <r>
    <n v="15287"/>
    <x v="1"/>
    <x v="0"/>
    <n v="50000"/>
    <n v="1"/>
    <s v="Graduate Degree"/>
    <x v="0"/>
    <s v="Yes"/>
    <n v="0"/>
    <x v="3"/>
    <x v="2"/>
    <n v="33"/>
    <x v="0"/>
    <x v="1"/>
  </r>
  <r>
    <n v="15532"/>
    <x v="1"/>
    <x v="1"/>
    <n v="60000"/>
    <n v="4"/>
    <s v="Bachelors"/>
    <x v="2"/>
    <s v="Yes"/>
    <n v="2"/>
    <x v="1"/>
    <x v="2"/>
    <n v="43"/>
    <x v="0"/>
    <x v="1"/>
  </r>
  <r>
    <n v="11255"/>
    <x v="0"/>
    <x v="1"/>
    <n v="70000"/>
    <n v="4"/>
    <s v="Graduate Degree"/>
    <x v="4"/>
    <s v="Yes"/>
    <n v="2"/>
    <x v="2"/>
    <x v="2"/>
    <n v="73"/>
    <x v="1"/>
    <x v="0"/>
  </r>
  <r>
    <n v="28090"/>
    <x v="0"/>
    <x v="1"/>
    <n v="40000"/>
    <n v="0"/>
    <s v="Partial College"/>
    <x v="0"/>
    <s v="Yes"/>
    <n v="1"/>
    <x v="2"/>
    <x v="2"/>
    <n v="27"/>
    <x v="2"/>
    <x v="0"/>
  </r>
  <r>
    <n v="15255"/>
    <x v="0"/>
    <x v="1"/>
    <n v="40000"/>
    <n v="0"/>
    <s v="High School"/>
    <x v="0"/>
    <s v="Yes"/>
    <n v="2"/>
    <x v="2"/>
    <x v="2"/>
    <n v="28"/>
    <x v="2"/>
    <x v="1"/>
  </r>
  <r>
    <n v="13154"/>
    <x v="0"/>
    <x v="1"/>
    <n v="40000"/>
    <n v="0"/>
    <s v="High School"/>
    <x v="0"/>
    <s v="No"/>
    <n v="2"/>
    <x v="0"/>
    <x v="2"/>
    <n v="27"/>
    <x v="2"/>
    <x v="1"/>
  </r>
  <r>
    <n v="26778"/>
    <x v="1"/>
    <x v="0"/>
    <n v="40000"/>
    <n v="0"/>
    <s v="High School"/>
    <x v="0"/>
    <s v="Yes"/>
    <n v="2"/>
    <x v="2"/>
    <x v="2"/>
    <n v="31"/>
    <x v="0"/>
    <x v="0"/>
  </r>
  <r>
    <n v="23248"/>
    <x v="0"/>
    <x v="0"/>
    <n v="10000"/>
    <n v="2"/>
    <s v="High School"/>
    <x v="3"/>
    <s v="Yes"/>
    <n v="2"/>
    <x v="3"/>
    <x v="2"/>
    <n v="53"/>
    <x v="0"/>
    <x v="0"/>
  </r>
  <r>
    <n v="21417"/>
    <x v="1"/>
    <x v="0"/>
    <n v="60000"/>
    <n v="0"/>
    <s v="Partial College"/>
    <x v="2"/>
    <s v="No"/>
    <n v="2"/>
    <x v="3"/>
    <x v="2"/>
    <n v="32"/>
    <x v="0"/>
    <x v="1"/>
  </r>
  <r>
    <n v="17668"/>
    <x v="1"/>
    <x v="1"/>
    <n v="30000"/>
    <n v="2"/>
    <s v="High School"/>
    <x v="0"/>
    <s v="Yes"/>
    <n v="2"/>
    <x v="3"/>
    <x v="2"/>
    <n v="50"/>
    <x v="0"/>
    <x v="1"/>
  </r>
  <r>
    <n v="27994"/>
    <x v="0"/>
    <x v="0"/>
    <n v="40000"/>
    <n v="4"/>
    <s v="High School"/>
    <x v="2"/>
    <s v="Yes"/>
    <n v="2"/>
    <x v="2"/>
    <x v="2"/>
    <n v="69"/>
    <x v="1"/>
    <x v="0"/>
  </r>
  <r>
    <n v="20376"/>
    <x v="1"/>
    <x v="0"/>
    <n v="70000"/>
    <n v="3"/>
    <s v="Graduate Degree"/>
    <x v="4"/>
    <s v="Yes"/>
    <n v="2"/>
    <x v="2"/>
    <x v="2"/>
    <n v="52"/>
    <x v="0"/>
    <x v="1"/>
  </r>
  <r>
    <n v="25954"/>
    <x v="0"/>
    <x v="1"/>
    <n v="60000"/>
    <n v="0"/>
    <s v="Partial College"/>
    <x v="0"/>
    <s v="No"/>
    <n v="2"/>
    <x v="3"/>
    <x v="2"/>
    <n v="31"/>
    <x v="0"/>
    <x v="0"/>
  </r>
  <r>
    <n v="15749"/>
    <x v="1"/>
    <x v="0"/>
    <n v="70000"/>
    <n v="4"/>
    <s v="Bachelors"/>
    <x v="4"/>
    <s v="Yes"/>
    <n v="2"/>
    <x v="4"/>
    <x v="2"/>
    <n v="61"/>
    <x v="1"/>
    <x v="0"/>
  </r>
  <r>
    <n v="25899"/>
    <x v="0"/>
    <x v="0"/>
    <n v="70000"/>
    <n v="2"/>
    <s v="High School"/>
    <x v="2"/>
    <s v="Yes"/>
    <n v="2"/>
    <x v="4"/>
    <x v="2"/>
    <n v="53"/>
    <x v="0"/>
    <x v="0"/>
  </r>
  <r>
    <n v="13351"/>
    <x v="1"/>
    <x v="0"/>
    <n v="70000"/>
    <n v="4"/>
    <s v="Bachelors"/>
    <x v="4"/>
    <s v="Yes"/>
    <n v="2"/>
    <x v="3"/>
    <x v="2"/>
    <n v="62"/>
    <x v="1"/>
    <x v="1"/>
  </r>
  <r>
    <n v="23333"/>
    <x v="0"/>
    <x v="1"/>
    <n v="40000"/>
    <n v="0"/>
    <s v="Partial College"/>
    <x v="0"/>
    <s v="No"/>
    <n v="2"/>
    <x v="3"/>
    <x v="2"/>
    <n v="30"/>
    <x v="2"/>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2"/>
    <x v="0"/>
  </r>
  <r>
    <n v="27505"/>
    <x v="1"/>
    <x v="0"/>
    <n v="40000"/>
    <n v="0"/>
    <s v="High School"/>
    <x v="0"/>
    <s v="Yes"/>
    <n v="2"/>
    <x v="2"/>
    <x v="2"/>
    <n v="30"/>
    <x v="2"/>
    <x v="0"/>
  </r>
  <r>
    <n v="29243"/>
    <x v="1"/>
    <x v="1"/>
    <n v="110000"/>
    <n v="1"/>
    <s v="Bachelors"/>
    <x v="4"/>
    <s v="Yes"/>
    <n v="1"/>
    <x v="2"/>
    <x v="2"/>
    <n v="43"/>
    <x v="0"/>
    <x v="0"/>
  </r>
  <r>
    <n v="26582"/>
    <x v="0"/>
    <x v="1"/>
    <n v="60000"/>
    <n v="0"/>
    <s v="Partial College"/>
    <x v="0"/>
    <s v="Yes"/>
    <n v="2"/>
    <x v="2"/>
    <x v="2"/>
    <n v="33"/>
    <x v="0"/>
    <x v="1"/>
  </r>
  <r>
    <n v="14271"/>
    <x v="0"/>
    <x v="1"/>
    <n v="30000"/>
    <n v="0"/>
    <s v="High School"/>
    <x v="0"/>
    <s v="Yes"/>
    <n v="2"/>
    <x v="2"/>
    <x v="2"/>
    <n v="32"/>
    <x v="0"/>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0"/>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2"/>
    <x v="0"/>
  </r>
  <r>
    <n v="16009"/>
    <x v="1"/>
    <x v="1"/>
    <n v="170000"/>
    <n v="1"/>
    <s v="Graduate Degree"/>
    <x v="4"/>
    <s v="No"/>
    <n v="4"/>
    <x v="0"/>
    <x v="2"/>
    <n v="66"/>
    <x v="1"/>
    <x v="0"/>
  </r>
  <r>
    <n v="18411"/>
    <x v="0"/>
    <x v="1"/>
    <n v="60000"/>
    <n v="2"/>
    <s v="High School"/>
    <x v="2"/>
    <s v="No"/>
    <n v="2"/>
    <x v="2"/>
    <x v="2"/>
    <n v="51"/>
    <x v="0"/>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0"/>
    <x v="1"/>
  </r>
  <r>
    <n v="12922"/>
    <x v="1"/>
    <x v="0"/>
    <n v="60000"/>
    <n v="3"/>
    <s v="Bachelors"/>
    <x v="0"/>
    <s v="Yes"/>
    <n v="0"/>
    <x v="1"/>
    <x v="2"/>
    <n v="40"/>
    <x v="0"/>
    <x v="1"/>
  </r>
  <r>
    <n v="18891"/>
    <x v="0"/>
    <x v="0"/>
    <n v="40000"/>
    <n v="0"/>
    <s v="Partial College"/>
    <x v="0"/>
    <s v="Yes"/>
    <n v="2"/>
    <x v="2"/>
    <x v="2"/>
    <n v="28"/>
    <x v="2"/>
    <x v="0"/>
  </r>
  <r>
    <n v="16773"/>
    <x v="0"/>
    <x v="1"/>
    <n v="60000"/>
    <n v="1"/>
    <s v="Graduate Degree"/>
    <x v="0"/>
    <s v="Yes"/>
    <n v="0"/>
    <x v="0"/>
    <x v="2"/>
    <n v="33"/>
    <x v="0"/>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0"/>
    <x v="0"/>
  </r>
  <r>
    <n v="12056"/>
    <x v="0"/>
    <x v="1"/>
    <n v="120000"/>
    <n v="2"/>
    <s v="Graduate Degree"/>
    <x v="4"/>
    <s v="Yes"/>
    <n v="3"/>
    <x v="2"/>
    <x v="2"/>
    <n v="64"/>
    <x v="1"/>
    <x v="0"/>
  </r>
  <r>
    <n v="15555"/>
    <x v="0"/>
    <x v="0"/>
    <n v="60000"/>
    <n v="1"/>
    <s v="Partial College"/>
    <x v="0"/>
    <s v="Yes"/>
    <n v="1"/>
    <x v="1"/>
    <x v="2"/>
    <n v="45"/>
    <x v="0"/>
    <x v="1"/>
  </r>
  <r>
    <n v="18423"/>
    <x v="1"/>
    <x v="1"/>
    <n v="80000"/>
    <n v="2"/>
    <s v="Partial High School"/>
    <x v="0"/>
    <s v="No"/>
    <n v="2"/>
    <x v="3"/>
    <x v="2"/>
    <n v="52"/>
    <x v="0"/>
    <x v="0"/>
  </r>
  <r>
    <n v="22743"/>
    <x v="0"/>
    <x v="0"/>
    <n v="40000"/>
    <n v="5"/>
    <s v="High School"/>
    <x v="2"/>
    <s v="Yes"/>
    <n v="2"/>
    <x v="4"/>
    <x v="2"/>
    <n v="60"/>
    <x v="1"/>
    <x v="0"/>
  </r>
  <r>
    <n v="25343"/>
    <x v="1"/>
    <x v="0"/>
    <n v="20000"/>
    <n v="3"/>
    <s v="Partial High School"/>
    <x v="1"/>
    <s v="Yes"/>
    <n v="2"/>
    <x v="3"/>
    <x v="2"/>
    <n v="50"/>
    <x v="0"/>
    <x v="0"/>
  </r>
  <r>
    <n v="13390"/>
    <x v="0"/>
    <x v="0"/>
    <n v="70000"/>
    <n v="4"/>
    <s v="Partial College"/>
    <x v="2"/>
    <s v="No"/>
    <n v="1"/>
    <x v="3"/>
    <x v="2"/>
    <n v="56"/>
    <x v="1"/>
    <x v="0"/>
  </r>
  <r>
    <n v="17482"/>
    <x v="1"/>
    <x v="0"/>
    <n v="40000"/>
    <n v="0"/>
    <s v="Partial High School"/>
    <x v="1"/>
    <s v="Yes"/>
    <n v="2"/>
    <x v="2"/>
    <x v="2"/>
    <n v="29"/>
    <x v="2"/>
    <x v="0"/>
  </r>
  <r>
    <n v="13176"/>
    <x v="1"/>
    <x v="1"/>
    <n v="130000"/>
    <n v="0"/>
    <s v="Graduate Degree"/>
    <x v="4"/>
    <s v="No"/>
    <n v="2"/>
    <x v="0"/>
    <x v="2"/>
    <n v="38"/>
    <x v="0"/>
    <x v="1"/>
  </r>
  <r>
    <n v="20504"/>
    <x v="0"/>
    <x v="0"/>
    <n v="40000"/>
    <n v="5"/>
    <s v="High School"/>
    <x v="2"/>
    <s v="No"/>
    <n v="2"/>
    <x v="1"/>
    <x v="2"/>
    <n v="60"/>
    <x v="1"/>
    <x v="0"/>
  </r>
  <r>
    <n v="12205"/>
    <x v="1"/>
    <x v="0"/>
    <n v="130000"/>
    <n v="2"/>
    <s v="Bachelors"/>
    <x v="4"/>
    <s v="No"/>
    <n v="4"/>
    <x v="0"/>
    <x v="2"/>
    <n v="67"/>
    <x v="1"/>
    <x v="0"/>
  </r>
  <r>
    <n v="16751"/>
    <x v="0"/>
    <x v="1"/>
    <n v="60000"/>
    <n v="0"/>
    <s v="Partial College"/>
    <x v="0"/>
    <s v="Yes"/>
    <n v="1"/>
    <x v="2"/>
    <x v="2"/>
    <n v="32"/>
    <x v="0"/>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0"/>
    <x v="0"/>
  </r>
  <r>
    <n v="18347"/>
    <x v="1"/>
    <x v="0"/>
    <n v="30000"/>
    <n v="0"/>
    <s v="Partial College"/>
    <x v="0"/>
    <s v="No"/>
    <n v="1"/>
    <x v="3"/>
    <x v="2"/>
    <n v="31"/>
    <x v="0"/>
    <x v="0"/>
  </r>
  <r>
    <n v="29052"/>
    <x v="1"/>
    <x v="1"/>
    <n v="40000"/>
    <n v="0"/>
    <s v="Partial College"/>
    <x v="0"/>
    <s v="Yes"/>
    <n v="1"/>
    <x v="2"/>
    <x v="2"/>
    <n v="27"/>
    <x v="2"/>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0"/>
    <x v="1"/>
  </r>
  <r>
    <n v="22330"/>
    <x v="0"/>
    <x v="1"/>
    <n v="50000"/>
    <n v="0"/>
    <s v="Graduate Degree"/>
    <x v="0"/>
    <s v="Yes"/>
    <n v="0"/>
    <x v="3"/>
    <x v="2"/>
    <n v="32"/>
    <x v="0"/>
    <x v="1"/>
  </r>
  <r>
    <n v="18783"/>
    <x v="1"/>
    <x v="1"/>
    <n v="80000"/>
    <n v="0"/>
    <s v="Bachelors"/>
    <x v="4"/>
    <s v="No"/>
    <n v="1"/>
    <x v="0"/>
    <x v="2"/>
    <n v="38"/>
    <x v="0"/>
    <x v="1"/>
  </r>
  <r>
    <n v="25041"/>
    <x v="1"/>
    <x v="1"/>
    <n v="40000"/>
    <n v="0"/>
    <s v="High School"/>
    <x v="0"/>
    <s v="Yes"/>
    <n v="2"/>
    <x v="2"/>
    <x v="2"/>
    <n v="31"/>
    <x v="0"/>
    <x v="0"/>
  </r>
  <r>
    <n v="22046"/>
    <x v="1"/>
    <x v="0"/>
    <n v="80000"/>
    <n v="0"/>
    <s v="Bachelors"/>
    <x v="4"/>
    <s v="No"/>
    <n v="1"/>
    <x v="0"/>
    <x v="2"/>
    <n v="38"/>
    <x v="0"/>
    <x v="1"/>
  </r>
  <r>
    <n v="28052"/>
    <x v="0"/>
    <x v="1"/>
    <n v="60000"/>
    <n v="2"/>
    <s v="High School"/>
    <x v="2"/>
    <s v="Yes"/>
    <n v="2"/>
    <x v="4"/>
    <x v="2"/>
    <n v="55"/>
    <x v="1"/>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1"/>
    <x v="0"/>
  </r>
  <r>
    <n v="22118"/>
    <x v="1"/>
    <x v="0"/>
    <n v="70000"/>
    <n v="3"/>
    <s v="Graduate Degree"/>
    <x v="4"/>
    <s v="Yes"/>
    <n v="2"/>
    <x v="2"/>
    <x v="2"/>
    <n v="53"/>
    <x v="0"/>
    <x v="1"/>
  </r>
  <r>
    <n v="23197"/>
    <x v="0"/>
    <x v="1"/>
    <n v="50000"/>
    <n v="3"/>
    <s v="Bachelors"/>
    <x v="0"/>
    <s v="Yes"/>
    <n v="2"/>
    <x v="1"/>
    <x v="2"/>
    <n v="40"/>
    <x v="0"/>
    <x v="0"/>
  </r>
  <r>
    <n v="14883"/>
    <x v="0"/>
    <x v="0"/>
    <n v="30000"/>
    <n v="1"/>
    <s v="Bachelors"/>
    <x v="0"/>
    <s v="Yes"/>
    <n v="1"/>
    <x v="2"/>
    <x v="2"/>
    <n v="53"/>
    <x v="0"/>
    <x v="1"/>
  </r>
  <r>
    <n v="27279"/>
    <x v="1"/>
    <x v="0"/>
    <n v="70000"/>
    <n v="2"/>
    <s v="Bachelors"/>
    <x v="0"/>
    <s v="Yes"/>
    <n v="0"/>
    <x v="1"/>
    <x v="2"/>
    <n v="38"/>
    <x v="0"/>
    <x v="1"/>
  </r>
  <r>
    <n v="18322"/>
    <x v="1"/>
    <x v="1"/>
    <n v="30000"/>
    <n v="0"/>
    <s v="Partial High School"/>
    <x v="1"/>
    <s v="No"/>
    <n v="2"/>
    <x v="0"/>
    <x v="2"/>
    <n v="26"/>
    <x v="2"/>
    <x v="0"/>
  </r>
  <r>
    <n v="15879"/>
    <x v="0"/>
    <x v="1"/>
    <n v="70000"/>
    <n v="5"/>
    <s v="Bachelors"/>
    <x v="4"/>
    <s v="Yes"/>
    <n v="2"/>
    <x v="1"/>
    <x v="2"/>
    <n v="61"/>
    <x v="1"/>
    <x v="0"/>
  </r>
  <r>
    <n v="28278"/>
    <x v="0"/>
    <x v="1"/>
    <n v="50000"/>
    <n v="2"/>
    <s v="Graduate Degree"/>
    <x v="4"/>
    <s v="Yes"/>
    <n v="2"/>
    <x v="2"/>
    <x v="2"/>
    <n v="71"/>
    <x v="1"/>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0"/>
    <x v="1"/>
  </r>
  <r>
    <n v="19731"/>
    <x v="0"/>
    <x v="1"/>
    <n v="80000"/>
    <n v="4"/>
    <s v="Graduate Degree"/>
    <x v="4"/>
    <s v="Yes"/>
    <n v="2"/>
    <x v="2"/>
    <x v="2"/>
    <n v="68"/>
    <x v="1"/>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1"/>
    <x v="1"/>
  </r>
  <r>
    <n v="21583"/>
    <x v="0"/>
    <x v="0"/>
    <n v="50000"/>
    <n v="1"/>
    <s v="Bachelors"/>
    <x v="0"/>
    <s v="Yes"/>
    <n v="0"/>
    <x v="0"/>
    <x v="2"/>
    <n v="34"/>
    <x v="0"/>
    <x v="1"/>
  </r>
  <r>
    <n v="12029"/>
    <x v="0"/>
    <x v="1"/>
    <n v="30000"/>
    <n v="0"/>
    <s v="Partial High School"/>
    <x v="1"/>
    <s v="No"/>
    <n v="2"/>
    <x v="0"/>
    <x v="2"/>
    <n v="28"/>
    <x v="2"/>
    <x v="0"/>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1"/>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1"/>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1"/>
    <x v="0"/>
  </r>
  <r>
    <n v="27190"/>
    <x v="0"/>
    <x v="0"/>
    <n v="40000"/>
    <n v="3"/>
    <s v="Partial College"/>
    <x v="1"/>
    <s v="Yes"/>
    <n v="1"/>
    <x v="3"/>
    <x v="2"/>
    <n v="32"/>
    <x v="0"/>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1"/>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1"/>
    <x v="0"/>
  </r>
  <r>
    <n v="20754"/>
    <x v="0"/>
    <x v="1"/>
    <n v="30000"/>
    <n v="2"/>
    <s v="High School"/>
    <x v="0"/>
    <s v="Yes"/>
    <n v="2"/>
    <x v="3"/>
    <x v="2"/>
    <n v="51"/>
    <x v="0"/>
    <x v="0"/>
  </r>
  <r>
    <n v="12153"/>
    <x v="1"/>
    <x v="0"/>
    <n v="70000"/>
    <n v="3"/>
    <s v="Partial College"/>
    <x v="2"/>
    <s v="Yes"/>
    <n v="1"/>
    <x v="2"/>
    <x v="2"/>
    <n v="49"/>
    <x v="0"/>
    <x v="1"/>
  </r>
  <r>
    <n v="16895"/>
    <x v="0"/>
    <x v="0"/>
    <n v="40000"/>
    <n v="3"/>
    <s v="Partial College"/>
    <x v="2"/>
    <s v="No"/>
    <n v="2"/>
    <x v="3"/>
    <x v="2"/>
    <n v="54"/>
    <x v="0"/>
    <x v="1"/>
  </r>
  <r>
    <n v="26728"/>
    <x v="1"/>
    <x v="1"/>
    <n v="70000"/>
    <n v="3"/>
    <s v="Graduate Degree"/>
    <x v="4"/>
    <s v="No"/>
    <n v="2"/>
    <x v="3"/>
    <x v="2"/>
    <n v="53"/>
    <x v="0"/>
    <x v="1"/>
  </r>
  <r>
    <n v="11090"/>
    <x v="1"/>
    <x v="1"/>
    <n v="90000"/>
    <n v="2"/>
    <s v="Partial College"/>
    <x v="2"/>
    <s v="Yes"/>
    <n v="1"/>
    <x v="1"/>
    <x v="2"/>
    <n v="48"/>
    <x v="0"/>
    <x v="1"/>
  </r>
  <r>
    <n v="15862"/>
    <x v="1"/>
    <x v="0"/>
    <n v="50000"/>
    <n v="0"/>
    <s v="Graduate Degree"/>
    <x v="0"/>
    <s v="Yes"/>
    <n v="0"/>
    <x v="3"/>
    <x v="2"/>
    <n v="33"/>
    <x v="0"/>
    <x v="1"/>
  </r>
  <r>
    <n v="26495"/>
    <x v="1"/>
    <x v="0"/>
    <n v="40000"/>
    <n v="2"/>
    <s v="High School"/>
    <x v="2"/>
    <s v="Yes"/>
    <n v="2"/>
    <x v="4"/>
    <x v="2"/>
    <n v="57"/>
    <x v="1"/>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2"/>
    <x v="1"/>
  </r>
  <r>
    <n v="11941"/>
    <x v="1"/>
    <x v="1"/>
    <n v="60000"/>
    <n v="0"/>
    <s v="Partial College"/>
    <x v="0"/>
    <s v="Yes"/>
    <n v="0"/>
    <x v="2"/>
    <x v="2"/>
    <n v="29"/>
    <x v="2"/>
    <x v="0"/>
  </r>
  <r>
    <n v="14389"/>
    <x v="0"/>
    <x v="1"/>
    <n v="60000"/>
    <n v="2"/>
    <s v="Bachelors"/>
    <x v="4"/>
    <s v="Yes"/>
    <n v="0"/>
    <x v="1"/>
    <x v="2"/>
    <n v="59"/>
    <x v="1"/>
    <x v="0"/>
  </r>
  <r>
    <n v="18050"/>
    <x v="0"/>
    <x v="0"/>
    <n v="60000"/>
    <n v="1"/>
    <s v="Partial College"/>
    <x v="0"/>
    <s v="Yes"/>
    <n v="1"/>
    <x v="0"/>
    <x v="2"/>
    <n v="45"/>
    <x v="0"/>
    <x v="1"/>
  </r>
  <r>
    <n v="19856"/>
    <x v="0"/>
    <x v="0"/>
    <n v="60000"/>
    <n v="4"/>
    <s v="Bachelors"/>
    <x v="4"/>
    <s v="Yes"/>
    <n v="2"/>
    <x v="1"/>
    <x v="2"/>
    <n v="60"/>
    <x v="1"/>
    <x v="0"/>
  </r>
  <r>
    <n v="11663"/>
    <x v="0"/>
    <x v="1"/>
    <n v="70000"/>
    <n v="4"/>
    <s v="Graduate Degree"/>
    <x v="2"/>
    <s v="Yes"/>
    <n v="0"/>
    <x v="0"/>
    <x v="2"/>
    <n v="36"/>
    <x v="0"/>
    <x v="1"/>
  </r>
  <r>
    <n v="27740"/>
    <x v="0"/>
    <x v="0"/>
    <n v="40000"/>
    <n v="0"/>
    <s v="High School"/>
    <x v="0"/>
    <s v="Yes"/>
    <n v="2"/>
    <x v="2"/>
    <x v="2"/>
    <n v="27"/>
    <x v="2"/>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0"/>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1"/>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0"/>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1"/>
    <x v="0"/>
  </r>
  <r>
    <n v="17654"/>
    <x v="1"/>
    <x v="0"/>
    <n v="40000"/>
    <n v="3"/>
    <s v="Partial College"/>
    <x v="1"/>
    <s v="Yes"/>
    <n v="1"/>
    <x v="3"/>
    <x v="2"/>
    <n v="30"/>
    <x v="2"/>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2"/>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1"/>
    <x v="0"/>
  </r>
  <r>
    <n v="16813"/>
    <x v="0"/>
    <x v="1"/>
    <n v="60000"/>
    <n v="2"/>
    <s v="Partial College"/>
    <x v="2"/>
    <s v="Yes"/>
    <n v="2"/>
    <x v="4"/>
    <x v="2"/>
    <n v="55"/>
    <x v="1"/>
    <x v="0"/>
  </r>
  <r>
    <n v="16007"/>
    <x v="0"/>
    <x v="0"/>
    <n v="90000"/>
    <n v="5"/>
    <s v="Bachelors"/>
    <x v="4"/>
    <s v="Yes"/>
    <n v="2"/>
    <x v="3"/>
    <x v="2"/>
    <n v="66"/>
    <x v="1"/>
    <x v="1"/>
  </r>
  <r>
    <n v="27434"/>
    <x v="1"/>
    <x v="1"/>
    <n v="70000"/>
    <n v="4"/>
    <s v="Partial College"/>
    <x v="2"/>
    <s v="Yes"/>
    <n v="1"/>
    <x v="4"/>
    <x v="2"/>
    <n v="56"/>
    <x v="1"/>
    <x v="0"/>
  </r>
  <r>
    <n v="27756"/>
    <x v="1"/>
    <x v="0"/>
    <n v="50000"/>
    <n v="3"/>
    <s v="Bachelors"/>
    <x v="0"/>
    <s v="No"/>
    <n v="1"/>
    <x v="0"/>
    <x v="2"/>
    <n v="40"/>
    <x v="0"/>
    <x v="0"/>
  </r>
  <r>
    <n v="23818"/>
    <x v="0"/>
    <x v="0"/>
    <n v="50000"/>
    <n v="0"/>
    <s v="Graduate Degree"/>
    <x v="0"/>
    <s v="Yes"/>
    <n v="0"/>
    <x v="3"/>
    <x v="2"/>
    <n v="33"/>
    <x v="0"/>
    <x v="1"/>
  </r>
  <r>
    <n v="19012"/>
    <x v="0"/>
    <x v="1"/>
    <n v="80000"/>
    <n v="3"/>
    <s v="Bachelors"/>
    <x v="4"/>
    <s v="Yes"/>
    <n v="1"/>
    <x v="3"/>
    <x v="2"/>
    <n v="56"/>
    <x v="1"/>
    <x v="0"/>
  </r>
  <r>
    <n v="18329"/>
    <x v="1"/>
    <x v="1"/>
    <n v="30000"/>
    <n v="0"/>
    <s v="Partial High School"/>
    <x v="1"/>
    <s v="No"/>
    <n v="2"/>
    <x v="2"/>
    <x v="2"/>
    <n v="27"/>
    <x v="2"/>
    <x v="0"/>
  </r>
  <r>
    <n v="29037"/>
    <x v="0"/>
    <x v="1"/>
    <n v="60000"/>
    <n v="0"/>
    <s v="Graduate Degree"/>
    <x v="2"/>
    <s v="No"/>
    <n v="0"/>
    <x v="0"/>
    <x v="2"/>
    <n v="39"/>
    <x v="0"/>
    <x v="0"/>
  </r>
  <r>
    <n v="26576"/>
    <x v="0"/>
    <x v="0"/>
    <n v="60000"/>
    <n v="0"/>
    <s v="Partial College"/>
    <x v="0"/>
    <s v="Yes"/>
    <n v="2"/>
    <x v="2"/>
    <x v="2"/>
    <n v="31"/>
    <x v="0"/>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0"/>
    <x v="1"/>
  </r>
  <r>
    <n v="20659"/>
    <x v="0"/>
    <x v="1"/>
    <n v="70000"/>
    <n v="3"/>
    <s v="Graduate Degree"/>
    <x v="2"/>
    <s v="Yes"/>
    <n v="0"/>
    <x v="0"/>
    <x v="2"/>
    <n v="35"/>
    <x v="0"/>
    <x v="1"/>
  </r>
  <r>
    <n v="28004"/>
    <x v="0"/>
    <x v="0"/>
    <n v="60000"/>
    <n v="3"/>
    <s v="Bachelors"/>
    <x v="4"/>
    <s v="Yes"/>
    <n v="2"/>
    <x v="4"/>
    <x v="2"/>
    <n v="66"/>
    <x v="1"/>
    <x v="0"/>
  </r>
  <r>
    <n v="19741"/>
    <x v="1"/>
    <x v="0"/>
    <n v="80000"/>
    <n v="4"/>
    <s v="Graduate Degree"/>
    <x v="4"/>
    <s v="Yes"/>
    <n v="2"/>
    <x v="2"/>
    <x v="2"/>
    <n v="65"/>
    <x v="1"/>
    <x v="0"/>
  </r>
  <r>
    <n v="17450"/>
    <x v="0"/>
    <x v="1"/>
    <n v="80000"/>
    <n v="5"/>
    <s v="Partial College"/>
    <x v="2"/>
    <s v="Yes"/>
    <n v="3"/>
    <x v="2"/>
    <x v="2"/>
    <n v="45"/>
    <x v="0"/>
    <x v="0"/>
  </r>
  <r>
    <n v="17337"/>
    <x v="1"/>
    <x v="1"/>
    <n v="40000"/>
    <n v="0"/>
    <s v="High School"/>
    <x v="0"/>
    <s v="Yes"/>
    <n v="1"/>
    <x v="2"/>
    <x v="2"/>
    <n v="31"/>
    <x v="0"/>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1"/>
    <x v="0"/>
  </r>
  <r>
    <n v="22730"/>
    <x v="0"/>
    <x v="1"/>
    <n v="70000"/>
    <n v="5"/>
    <s v="Bachelors"/>
    <x v="4"/>
    <s v="Yes"/>
    <n v="2"/>
    <x v="4"/>
    <x v="2"/>
    <n v="63"/>
    <x v="1"/>
    <x v="0"/>
  </r>
  <r>
    <n v="29134"/>
    <x v="0"/>
    <x v="1"/>
    <n v="60000"/>
    <n v="4"/>
    <s v="Bachelors"/>
    <x v="0"/>
    <s v="No"/>
    <n v="3"/>
    <x v="4"/>
    <x v="2"/>
    <n v="42"/>
    <x v="0"/>
    <x v="0"/>
  </r>
  <r>
    <n v="14332"/>
    <x v="1"/>
    <x v="0"/>
    <n v="30000"/>
    <n v="0"/>
    <s v="High School"/>
    <x v="0"/>
    <s v="No"/>
    <n v="2"/>
    <x v="2"/>
    <x v="2"/>
    <n v="26"/>
    <x v="2"/>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0"/>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F4B4AD-3D10-4D77-A418-5D664C00D10C}"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4:C69" firstHeaderRow="1" firstDataRow="2" firstDataCol="1"/>
  <pivotFields count="14">
    <pivotField dataField="1" showAll="0"/>
    <pivotField axis="axisCol" showAll="0">
      <items count="3">
        <item x="0"/>
        <item h="1" x="1"/>
        <item t="default"/>
      </items>
    </pivotField>
    <pivotField showAll="0">
      <items count="3">
        <item x="0"/>
        <item x="1"/>
        <item t="default"/>
      </items>
    </pivotField>
    <pivotField numFmtId="166" showAll="0"/>
    <pivotField showAll="0"/>
    <pivotField showAll="0"/>
    <pivotField showAll="0">
      <items count="6">
        <item h="1" x="1"/>
        <item h="1" x="4"/>
        <item h="1" x="3"/>
        <item x="2"/>
        <item h="1" x="0"/>
        <item t="default"/>
      </items>
    </pivotField>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Fields count="1">
    <field x="1"/>
  </colFields>
  <colItems count="2">
    <i>
      <x/>
    </i>
    <i t="grand">
      <x/>
    </i>
  </colItems>
  <dataFields count="1">
    <dataField name="Sum of ID" fld="0" baseField="0" baseItem="0"/>
  </dataFields>
  <chartFormats count="11">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 chart="5" format="17" series="1">
      <pivotArea type="data" outline="0" fieldPosition="0">
        <references count="2">
          <reference field="4294967294" count="1" selected="0">
            <x v="0"/>
          </reference>
          <reference field="1" count="1" selected="0">
            <x v="0"/>
          </reference>
        </references>
      </pivotArea>
    </chartFormat>
    <chartFormat chart="5" format="18">
      <pivotArea type="data" outline="0" fieldPosition="0">
        <references count="3">
          <reference field="4294967294" count="1" selected="0">
            <x v="0"/>
          </reference>
          <reference field="1" count="1" selected="0">
            <x v="0"/>
          </reference>
          <reference field="10" count="1" selected="0">
            <x v="0"/>
          </reference>
        </references>
      </pivotArea>
    </chartFormat>
    <chartFormat chart="5" format="19">
      <pivotArea type="data" outline="0" fieldPosition="0">
        <references count="3">
          <reference field="4294967294" count="1" selected="0">
            <x v="0"/>
          </reference>
          <reference field="1" count="1" selected="0">
            <x v="0"/>
          </reference>
          <reference field="10" count="1" selected="0">
            <x v="1"/>
          </reference>
        </references>
      </pivotArea>
    </chartFormat>
    <chartFormat chart="5" format="20">
      <pivotArea type="data" outline="0" fieldPosition="0">
        <references count="3">
          <reference field="4294967294" count="1" selected="0">
            <x v="0"/>
          </reference>
          <reference field="1" count="1" selected="0">
            <x v="0"/>
          </reference>
          <reference field="10" count="1" selected="0">
            <x v="2"/>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pivotArea type="data" outline="0" fieldPosition="0">
        <references count="3">
          <reference field="4294967294" count="1" selected="0">
            <x v="0"/>
          </reference>
          <reference field="1" count="1" selected="0">
            <x v="1"/>
          </reference>
          <reference field="10" count="1" selected="0">
            <x v="0"/>
          </reference>
        </references>
      </pivotArea>
    </chartFormat>
    <chartFormat chart="5" format="23">
      <pivotArea type="data" outline="0" fieldPosition="0">
        <references count="3">
          <reference field="4294967294" count="1" selected="0">
            <x v="0"/>
          </reference>
          <reference field="1" count="1" selected="0">
            <x v="1"/>
          </reference>
          <reference field="10" count="1" selected="0">
            <x v="1"/>
          </reference>
        </references>
      </pivotArea>
    </chartFormat>
    <chartFormat chart="5" format="24">
      <pivotArea type="data" outline="0" fieldPosition="0">
        <references count="3">
          <reference field="4294967294" count="1" selected="0">
            <x v="0"/>
          </reference>
          <reference field="1"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9BCA2-A7A8-4A54-B698-14EC54AEB842}"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D48" firstHeaderRow="1" firstDataRow="2" firstDataCol="1"/>
  <pivotFields count="14">
    <pivotField showAll="0"/>
    <pivotField showAll="0"/>
    <pivotField showAll="0">
      <items count="3">
        <item x="0"/>
        <item x="1"/>
        <item t="default"/>
      </items>
    </pivotField>
    <pivotField numFmtId="166" showAll="0"/>
    <pivotField showAll="0"/>
    <pivotField showAll="0"/>
    <pivotField showAll="0">
      <items count="6">
        <item h="1" x="1"/>
        <item h="1" x="4"/>
        <item h="1" x="3"/>
        <item x="2"/>
        <item h="1" x="0"/>
        <item t="default"/>
      </items>
    </pivotField>
    <pivotField showAll="0"/>
    <pivotField showAll="0"/>
    <pivotField showAll="0"/>
    <pivotField showAll="0"/>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B5B8D-F3FA-483D-BB74-2AA6091C83AF}"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pivotField showAll="0">
      <items count="3">
        <item x="0"/>
        <item x="1"/>
        <item t="default"/>
      </items>
    </pivotField>
    <pivotField numFmtId="166" showAll="0"/>
    <pivotField showAll="0"/>
    <pivotField showAll="0"/>
    <pivotField showAll="0">
      <items count="6">
        <item h="1" x="1"/>
        <item h="1" x="4"/>
        <item h="1" x="3"/>
        <item x="2"/>
        <item h="1" x="0"/>
        <item t="default"/>
      </items>
    </pivotField>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C71366-79B6-4FF9-B36A-C4C46BE73871}"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pivotField showAll="0">
      <items count="6">
        <item h="1" x="1"/>
        <item h="1" x="4"/>
        <item h="1" x="3"/>
        <item x="2"/>
        <item h="1"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6">
      <pivotArea field="2" grandCol="1" collapsedLevelsAreSubtotals="1" axis="axisRow" fieldPosition="0">
        <references count="1">
          <reference field="2"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D6CE0B-4081-41E2-AA98-78E74EF6E06A}" sourceName="Gender">
  <pivotTables>
    <pivotTable tabId="2" name="PivotTable2"/>
    <pivotTable tabId="2" name="PivotTable1"/>
    <pivotTable tabId="2" name="PivotTable3"/>
    <pivotTable tabId="2" name="PivotTable5"/>
  </pivotTables>
  <data>
    <tabular pivotCacheId="17792824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DA7994-319B-4992-BC4C-4FB9B999C438}" sourceName="Marital Status">
  <pivotTables>
    <pivotTable tabId="2" name="PivotTable5"/>
  </pivotTables>
  <data>
    <tabular pivotCacheId="1779282446">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2942E63-5888-4224-9E19-A04F8334A356}" sourceName="Occupation">
  <pivotTables>
    <pivotTable tabId="2" name="PivotTable2"/>
    <pivotTable tabId="2" name="PivotTable1"/>
    <pivotTable tabId="2" name="PivotTable3"/>
    <pivotTable tabId="2" name="PivotTable5"/>
  </pivotTables>
  <data>
    <tabular pivotCacheId="1779282446">
      <items count="5">
        <i x="1"/>
        <i x="4"/>
        <i x="3"/>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CDFF3CC-2108-4DB7-9107-E7F48C32B0AA}" cache="Slicer_Gender" caption="Gender" rowHeight="234950"/>
  <slicer name="Marital Status" xr10:uid="{E5DA6E3A-F62C-4DCA-AEE4-D640F68708D5}" cache="Slicer_Marital_Status" caption="Marital Status" rowHeight="234950"/>
  <slicer name="Occupation" xr10:uid="{A0B0062A-CFAC-482D-9C41-D47C82636ED5}"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982" workbookViewId="0">
      <selection activeCell="L34" sqref="L1:L1001"/>
    </sheetView>
  </sheetViews>
  <sheetFormatPr defaultColWidth="11.88671875" defaultRowHeight="14.4" x14ac:dyDescent="0.3"/>
  <cols>
    <col min="2" max="2" width="12.33203125" bestFit="1" customWidth="1"/>
    <col min="6" max="6" width="16.21875" bestFit="1" customWidth="1"/>
    <col min="12" max="12" width="8.6640625" customWidth="1"/>
    <col min="13" max="13" width="11.4414062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36</v>
      </c>
      <c r="N1" t="s">
        <v>12</v>
      </c>
    </row>
    <row r="2" spans="1:14" x14ac:dyDescent="0.3">
      <c r="A2">
        <v>12496</v>
      </c>
      <c r="B2" t="s">
        <v>32</v>
      </c>
      <c r="C2" t="s">
        <v>35</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32</v>
      </c>
      <c r="C3" t="s">
        <v>34</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32</v>
      </c>
      <c r="C4" t="s">
        <v>34</v>
      </c>
      <c r="D4" s="3">
        <v>80000</v>
      </c>
      <c r="E4">
        <v>5</v>
      </c>
      <c r="F4" t="s">
        <v>19</v>
      </c>
      <c r="G4" t="s">
        <v>21</v>
      </c>
      <c r="H4" t="s">
        <v>18</v>
      </c>
      <c r="I4">
        <v>2</v>
      </c>
      <c r="J4" t="s">
        <v>22</v>
      </c>
      <c r="K4" t="s">
        <v>17</v>
      </c>
      <c r="L4">
        <v>60</v>
      </c>
      <c r="M4" t="str">
        <f t="shared" si="0"/>
        <v>Old</v>
      </c>
      <c r="N4" t="s">
        <v>18</v>
      </c>
    </row>
    <row r="5" spans="1:14" x14ac:dyDescent="0.3">
      <c r="A5">
        <v>24381</v>
      </c>
      <c r="B5" t="s">
        <v>33</v>
      </c>
      <c r="C5" t="s">
        <v>34</v>
      </c>
      <c r="D5" s="3">
        <v>70000</v>
      </c>
      <c r="E5">
        <v>0</v>
      </c>
      <c r="F5" t="s">
        <v>13</v>
      </c>
      <c r="G5" t="s">
        <v>21</v>
      </c>
      <c r="H5" t="s">
        <v>15</v>
      </c>
      <c r="I5">
        <v>1</v>
      </c>
      <c r="J5" t="s">
        <v>23</v>
      </c>
      <c r="K5" t="s">
        <v>24</v>
      </c>
      <c r="L5">
        <v>41</v>
      </c>
      <c r="M5" t="str">
        <f t="shared" si="0"/>
        <v>Middle age</v>
      </c>
      <c r="N5" t="s">
        <v>15</v>
      </c>
    </row>
    <row r="6" spans="1:14" x14ac:dyDescent="0.3">
      <c r="A6">
        <v>25597</v>
      </c>
      <c r="B6" t="s">
        <v>33</v>
      </c>
      <c r="C6" t="s">
        <v>34</v>
      </c>
      <c r="D6" s="3">
        <v>30000</v>
      </c>
      <c r="E6">
        <v>0</v>
      </c>
      <c r="F6" t="s">
        <v>13</v>
      </c>
      <c r="G6" t="s">
        <v>20</v>
      </c>
      <c r="H6" t="s">
        <v>18</v>
      </c>
      <c r="I6">
        <v>0</v>
      </c>
      <c r="J6" t="s">
        <v>16</v>
      </c>
      <c r="K6" t="s">
        <v>17</v>
      </c>
      <c r="L6">
        <v>36</v>
      </c>
      <c r="M6" t="str">
        <f t="shared" si="0"/>
        <v>Middle age</v>
      </c>
      <c r="N6" t="s">
        <v>15</v>
      </c>
    </row>
    <row r="7" spans="1:14" x14ac:dyDescent="0.3">
      <c r="A7">
        <v>13507</v>
      </c>
      <c r="B7" t="s">
        <v>32</v>
      </c>
      <c r="C7" t="s">
        <v>35</v>
      </c>
      <c r="D7" s="3">
        <v>10000</v>
      </c>
      <c r="E7">
        <v>2</v>
      </c>
      <c r="F7" t="s">
        <v>19</v>
      </c>
      <c r="G7" t="s">
        <v>25</v>
      </c>
      <c r="H7" t="s">
        <v>15</v>
      </c>
      <c r="I7">
        <v>0</v>
      </c>
      <c r="J7" t="s">
        <v>26</v>
      </c>
      <c r="K7" t="s">
        <v>17</v>
      </c>
      <c r="L7">
        <v>50</v>
      </c>
      <c r="M7" t="str">
        <f t="shared" si="0"/>
        <v>Middle age</v>
      </c>
      <c r="N7" t="s">
        <v>18</v>
      </c>
    </row>
    <row r="8" spans="1:14" x14ac:dyDescent="0.3">
      <c r="A8">
        <v>27974</v>
      </c>
      <c r="B8" t="s">
        <v>33</v>
      </c>
      <c r="C8" t="s">
        <v>34</v>
      </c>
      <c r="D8" s="3">
        <v>160000</v>
      </c>
      <c r="E8">
        <v>2</v>
      </c>
      <c r="F8" t="s">
        <v>27</v>
      </c>
      <c r="G8" t="s">
        <v>28</v>
      </c>
      <c r="H8" t="s">
        <v>15</v>
      </c>
      <c r="I8">
        <v>4</v>
      </c>
      <c r="J8" t="s">
        <v>16</v>
      </c>
      <c r="K8" t="s">
        <v>24</v>
      </c>
      <c r="L8">
        <v>33</v>
      </c>
      <c r="M8" t="str">
        <f t="shared" si="0"/>
        <v>Middle age</v>
      </c>
      <c r="N8" t="s">
        <v>15</v>
      </c>
    </row>
    <row r="9" spans="1:14" x14ac:dyDescent="0.3">
      <c r="A9">
        <v>19364</v>
      </c>
      <c r="B9" t="s">
        <v>32</v>
      </c>
      <c r="C9" t="s">
        <v>34</v>
      </c>
      <c r="D9" s="3">
        <v>40000</v>
      </c>
      <c r="E9">
        <v>1</v>
      </c>
      <c r="F9" t="s">
        <v>13</v>
      </c>
      <c r="G9" t="s">
        <v>14</v>
      </c>
      <c r="H9" t="s">
        <v>15</v>
      </c>
      <c r="I9">
        <v>0</v>
      </c>
      <c r="J9" t="s">
        <v>16</v>
      </c>
      <c r="K9" t="s">
        <v>17</v>
      </c>
      <c r="L9">
        <v>43</v>
      </c>
      <c r="M9" t="str">
        <f t="shared" si="0"/>
        <v>Middle age</v>
      </c>
      <c r="N9" t="s">
        <v>15</v>
      </c>
    </row>
    <row r="10" spans="1:14" x14ac:dyDescent="0.3">
      <c r="A10">
        <v>22155</v>
      </c>
      <c r="B10" t="s">
        <v>32</v>
      </c>
      <c r="C10" t="s">
        <v>34</v>
      </c>
      <c r="D10" s="3">
        <v>20000</v>
      </c>
      <c r="E10">
        <v>2</v>
      </c>
      <c r="F10" t="s">
        <v>29</v>
      </c>
      <c r="G10" t="s">
        <v>20</v>
      </c>
      <c r="H10" t="s">
        <v>15</v>
      </c>
      <c r="I10">
        <v>2</v>
      </c>
      <c r="J10" t="s">
        <v>23</v>
      </c>
      <c r="K10" t="s">
        <v>24</v>
      </c>
      <c r="L10">
        <v>58</v>
      </c>
      <c r="M10" t="str">
        <f t="shared" si="0"/>
        <v>Old</v>
      </c>
      <c r="N10" t="s">
        <v>18</v>
      </c>
    </row>
    <row r="11" spans="1:14" x14ac:dyDescent="0.3">
      <c r="A11">
        <v>19280</v>
      </c>
      <c r="B11" t="s">
        <v>32</v>
      </c>
      <c r="C11" t="s">
        <v>34</v>
      </c>
      <c r="D11" s="3">
        <v>120000</v>
      </c>
      <c r="E11">
        <v>2</v>
      </c>
      <c r="F11" t="s">
        <v>19</v>
      </c>
      <c r="G11" t="s">
        <v>25</v>
      </c>
      <c r="H11" t="s">
        <v>15</v>
      </c>
      <c r="I11">
        <v>1</v>
      </c>
      <c r="J11" t="s">
        <v>16</v>
      </c>
      <c r="K11" t="s">
        <v>17</v>
      </c>
      <c r="L11">
        <v>40</v>
      </c>
      <c r="M11" t="str">
        <f t="shared" si="0"/>
        <v>Middle age</v>
      </c>
      <c r="N11" t="s">
        <v>15</v>
      </c>
    </row>
    <row r="12" spans="1:14" x14ac:dyDescent="0.3">
      <c r="A12">
        <v>22173</v>
      </c>
      <c r="B12" t="s">
        <v>32</v>
      </c>
      <c r="C12" t="s">
        <v>35</v>
      </c>
      <c r="D12" s="3">
        <v>30000</v>
      </c>
      <c r="E12">
        <v>3</v>
      </c>
      <c r="F12" t="s">
        <v>27</v>
      </c>
      <c r="G12" t="s">
        <v>14</v>
      </c>
      <c r="H12" t="s">
        <v>18</v>
      </c>
      <c r="I12">
        <v>2</v>
      </c>
      <c r="J12" t="s">
        <v>26</v>
      </c>
      <c r="K12" t="s">
        <v>24</v>
      </c>
      <c r="L12">
        <v>54</v>
      </c>
      <c r="M12" t="str">
        <f t="shared" si="0"/>
        <v>Middle age</v>
      </c>
      <c r="N12" t="s">
        <v>15</v>
      </c>
    </row>
    <row r="13" spans="1:14" x14ac:dyDescent="0.3">
      <c r="A13">
        <v>12697</v>
      </c>
      <c r="B13" t="s">
        <v>33</v>
      </c>
      <c r="C13" t="s">
        <v>35</v>
      </c>
      <c r="D13" s="3">
        <v>90000</v>
      </c>
      <c r="E13">
        <v>0</v>
      </c>
      <c r="F13" t="s">
        <v>13</v>
      </c>
      <c r="G13" t="s">
        <v>21</v>
      </c>
      <c r="H13" t="s">
        <v>18</v>
      </c>
      <c r="I13">
        <v>4</v>
      </c>
      <c r="J13" t="s">
        <v>42</v>
      </c>
      <c r="K13" t="s">
        <v>24</v>
      </c>
      <c r="L13">
        <v>36</v>
      </c>
      <c r="M13" t="str">
        <f t="shared" si="0"/>
        <v>Middle age</v>
      </c>
      <c r="N13" t="s">
        <v>18</v>
      </c>
    </row>
    <row r="14" spans="1:14" x14ac:dyDescent="0.3">
      <c r="A14">
        <v>11434</v>
      </c>
      <c r="B14" t="s">
        <v>32</v>
      </c>
      <c r="C14" t="s">
        <v>34</v>
      </c>
      <c r="D14" s="3">
        <v>170000</v>
      </c>
      <c r="E14">
        <v>5</v>
      </c>
      <c r="F14" t="s">
        <v>19</v>
      </c>
      <c r="G14" t="s">
        <v>21</v>
      </c>
      <c r="H14" t="s">
        <v>15</v>
      </c>
      <c r="I14">
        <v>0</v>
      </c>
      <c r="J14" t="s">
        <v>16</v>
      </c>
      <c r="K14" t="s">
        <v>17</v>
      </c>
      <c r="L14">
        <v>55</v>
      </c>
      <c r="M14" t="str">
        <f t="shared" si="0"/>
        <v>Old</v>
      </c>
      <c r="N14" t="s">
        <v>18</v>
      </c>
    </row>
    <row r="15" spans="1:14" x14ac:dyDescent="0.3">
      <c r="A15">
        <v>25323</v>
      </c>
      <c r="B15" t="s">
        <v>32</v>
      </c>
      <c r="C15" t="s">
        <v>34</v>
      </c>
      <c r="D15" s="3">
        <v>40000</v>
      </c>
      <c r="E15">
        <v>2</v>
      </c>
      <c r="F15" t="s">
        <v>19</v>
      </c>
      <c r="G15" t="s">
        <v>20</v>
      </c>
      <c r="H15" t="s">
        <v>15</v>
      </c>
      <c r="I15">
        <v>1</v>
      </c>
      <c r="J15" t="s">
        <v>26</v>
      </c>
      <c r="K15" t="s">
        <v>17</v>
      </c>
      <c r="L15">
        <v>35</v>
      </c>
      <c r="M15" t="str">
        <f t="shared" si="0"/>
        <v>Middle age</v>
      </c>
      <c r="N15" t="s">
        <v>15</v>
      </c>
    </row>
    <row r="16" spans="1:14" x14ac:dyDescent="0.3">
      <c r="A16">
        <v>23542</v>
      </c>
      <c r="B16" t="s">
        <v>33</v>
      </c>
      <c r="C16" t="s">
        <v>34</v>
      </c>
      <c r="D16" s="3">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3">
        <v>10000</v>
      </c>
      <c r="E17">
        <v>2</v>
      </c>
      <c r="F17" t="s">
        <v>27</v>
      </c>
      <c r="G17" t="s">
        <v>25</v>
      </c>
      <c r="H17" t="s">
        <v>15</v>
      </c>
      <c r="I17">
        <v>1</v>
      </c>
      <c r="J17" t="s">
        <v>16</v>
      </c>
      <c r="K17" t="s">
        <v>17</v>
      </c>
      <c r="L17">
        <v>38</v>
      </c>
      <c r="M17" t="str">
        <f t="shared" si="0"/>
        <v>Middle age</v>
      </c>
      <c r="N17" t="s">
        <v>15</v>
      </c>
    </row>
    <row r="18" spans="1:14" x14ac:dyDescent="0.3">
      <c r="A18">
        <v>23316</v>
      </c>
      <c r="B18" t="s">
        <v>33</v>
      </c>
      <c r="C18" t="s">
        <v>34</v>
      </c>
      <c r="D18" s="3">
        <v>30000</v>
      </c>
      <c r="E18">
        <v>3</v>
      </c>
      <c r="F18" t="s">
        <v>19</v>
      </c>
      <c r="G18" t="s">
        <v>20</v>
      </c>
      <c r="H18" t="s">
        <v>18</v>
      </c>
      <c r="I18">
        <v>2</v>
      </c>
      <c r="J18" t="s">
        <v>26</v>
      </c>
      <c r="K18" t="s">
        <v>24</v>
      </c>
      <c r="L18">
        <v>59</v>
      </c>
      <c r="M18" t="str">
        <f t="shared" si="0"/>
        <v>Old</v>
      </c>
      <c r="N18" t="s">
        <v>15</v>
      </c>
    </row>
    <row r="19" spans="1:14" x14ac:dyDescent="0.3">
      <c r="A19">
        <v>12610</v>
      </c>
      <c r="B19" t="s">
        <v>32</v>
      </c>
      <c r="C19" t="s">
        <v>35</v>
      </c>
      <c r="D19" s="3">
        <v>30000</v>
      </c>
      <c r="E19">
        <v>1</v>
      </c>
      <c r="F19" t="s">
        <v>13</v>
      </c>
      <c r="G19" t="s">
        <v>20</v>
      </c>
      <c r="H19" t="s">
        <v>15</v>
      </c>
      <c r="I19">
        <v>0</v>
      </c>
      <c r="J19" t="s">
        <v>16</v>
      </c>
      <c r="K19" t="s">
        <v>17</v>
      </c>
      <c r="L19">
        <v>47</v>
      </c>
      <c r="M19" t="str">
        <f t="shared" si="0"/>
        <v>Middle age</v>
      </c>
      <c r="N19" t="s">
        <v>18</v>
      </c>
    </row>
    <row r="20" spans="1:14" x14ac:dyDescent="0.3">
      <c r="A20">
        <v>27183</v>
      </c>
      <c r="B20" t="s">
        <v>33</v>
      </c>
      <c r="C20" t="s">
        <v>34</v>
      </c>
      <c r="D20" s="3">
        <v>40000</v>
      </c>
      <c r="E20">
        <v>2</v>
      </c>
      <c r="F20" t="s">
        <v>19</v>
      </c>
      <c r="G20" t="s">
        <v>20</v>
      </c>
      <c r="H20" t="s">
        <v>15</v>
      </c>
      <c r="I20">
        <v>1</v>
      </c>
      <c r="J20" t="s">
        <v>26</v>
      </c>
      <c r="K20" t="s">
        <v>17</v>
      </c>
      <c r="L20">
        <v>35</v>
      </c>
      <c r="M20" t="str">
        <f t="shared" si="0"/>
        <v>Middle age</v>
      </c>
      <c r="N20" t="s">
        <v>15</v>
      </c>
    </row>
    <row r="21" spans="1:14" x14ac:dyDescent="0.3">
      <c r="A21">
        <v>25940</v>
      </c>
      <c r="B21" t="s">
        <v>33</v>
      </c>
      <c r="C21" t="s">
        <v>34</v>
      </c>
      <c r="D21" s="3">
        <v>20000</v>
      </c>
      <c r="E21">
        <v>2</v>
      </c>
      <c r="F21" t="s">
        <v>29</v>
      </c>
      <c r="G21" t="s">
        <v>20</v>
      </c>
      <c r="H21" t="s">
        <v>15</v>
      </c>
      <c r="I21">
        <v>2</v>
      </c>
      <c r="J21" t="s">
        <v>23</v>
      </c>
      <c r="K21" t="s">
        <v>24</v>
      </c>
      <c r="L21">
        <v>55</v>
      </c>
      <c r="M21" t="str">
        <f t="shared" si="0"/>
        <v>Old</v>
      </c>
      <c r="N21" t="s">
        <v>15</v>
      </c>
    </row>
    <row r="22" spans="1:14" x14ac:dyDescent="0.3">
      <c r="A22">
        <v>25598</v>
      </c>
      <c r="B22" t="s">
        <v>32</v>
      </c>
      <c r="C22" t="s">
        <v>35</v>
      </c>
      <c r="D22" s="3">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3">
        <v>80000</v>
      </c>
      <c r="E23">
        <v>0</v>
      </c>
      <c r="F23" t="s">
        <v>13</v>
      </c>
      <c r="G23" t="s">
        <v>21</v>
      </c>
      <c r="H23" t="s">
        <v>15</v>
      </c>
      <c r="I23">
        <v>4</v>
      </c>
      <c r="J23" t="s">
        <v>42</v>
      </c>
      <c r="K23" t="s">
        <v>24</v>
      </c>
      <c r="L23">
        <v>35</v>
      </c>
      <c r="M23" t="str">
        <f t="shared" si="0"/>
        <v>Middle age</v>
      </c>
      <c r="N23" t="s">
        <v>18</v>
      </c>
    </row>
    <row r="24" spans="1:14" x14ac:dyDescent="0.3">
      <c r="A24">
        <v>19193</v>
      </c>
      <c r="B24" t="s">
        <v>33</v>
      </c>
      <c r="C24" t="s">
        <v>34</v>
      </c>
      <c r="D24" s="3">
        <v>40000</v>
      </c>
      <c r="E24">
        <v>2</v>
      </c>
      <c r="F24" t="s">
        <v>19</v>
      </c>
      <c r="G24" t="s">
        <v>20</v>
      </c>
      <c r="H24" t="s">
        <v>15</v>
      </c>
      <c r="I24">
        <v>0</v>
      </c>
      <c r="J24" t="s">
        <v>26</v>
      </c>
      <c r="K24" t="s">
        <v>17</v>
      </c>
      <c r="L24">
        <v>35</v>
      </c>
      <c r="M24" t="str">
        <f t="shared" si="0"/>
        <v>Middle age</v>
      </c>
      <c r="N24" t="s">
        <v>15</v>
      </c>
    </row>
    <row r="25" spans="1:14" x14ac:dyDescent="0.3">
      <c r="A25">
        <v>26412</v>
      </c>
      <c r="B25" t="s">
        <v>32</v>
      </c>
      <c r="C25" t="s">
        <v>35</v>
      </c>
      <c r="D25" s="3">
        <v>80000</v>
      </c>
      <c r="E25">
        <v>5</v>
      </c>
      <c r="F25" t="s">
        <v>27</v>
      </c>
      <c r="G25" t="s">
        <v>28</v>
      </c>
      <c r="H25" t="s">
        <v>18</v>
      </c>
      <c r="I25">
        <v>3</v>
      </c>
      <c r="J25" t="s">
        <v>23</v>
      </c>
      <c r="K25" t="s">
        <v>17</v>
      </c>
      <c r="L25">
        <v>56</v>
      </c>
      <c r="M25" t="str">
        <f t="shared" si="0"/>
        <v>Old</v>
      </c>
      <c r="N25" t="s">
        <v>18</v>
      </c>
    </row>
    <row r="26" spans="1:14" x14ac:dyDescent="0.3">
      <c r="A26">
        <v>27184</v>
      </c>
      <c r="B26" t="s">
        <v>33</v>
      </c>
      <c r="C26" t="s">
        <v>34</v>
      </c>
      <c r="D26" s="3">
        <v>40000</v>
      </c>
      <c r="E26">
        <v>2</v>
      </c>
      <c r="F26" t="s">
        <v>19</v>
      </c>
      <c r="G26" t="s">
        <v>20</v>
      </c>
      <c r="H26" t="s">
        <v>18</v>
      </c>
      <c r="I26">
        <v>1</v>
      </c>
      <c r="J26" t="s">
        <v>16</v>
      </c>
      <c r="K26" t="s">
        <v>17</v>
      </c>
      <c r="L26">
        <v>34</v>
      </c>
      <c r="M26" t="str">
        <f t="shared" si="0"/>
        <v>Middle age</v>
      </c>
      <c r="N26" t="s">
        <v>18</v>
      </c>
    </row>
    <row r="27" spans="1:14" x14ac:dyDescent="0.3">
      <c r="A27">
        <v>12590</v>
      </c>
      <c r="B27" t="s">
        <v>33</v>
      </c>
      <c r="C27" t="s">
        <v>34</v>
      </c>
      <c r="D27" s="3">
        <v>30000</v>
      </c>
      <c r="E27">
        <v>1</v>
      </c>
      <c r="F27" t="s">
        <v>13</v>
      </c>
      <c r="G27" t="s">
        <v>20</v>
      </c>
      <c r="H27" t="s">
        <v>15</v>
      </c>
      <c r="I27">
        <v>0</v>
      </c>
      <c r="J27" t="s">
        <v>16</v>
      </c>
      <c r="K27" t="s">
        <v>17</v>
      </c>
      <c r="L27">
        <v>63</v>
      </c>
      <c r="M27" t="str">
        <f t="shared" si="0"/>
        <v>Old</v>
      </c>
      <c r="N27" t="s">
        <v>18</v>
      </c>
    </row>
    <row r="28" spans="1:14" x14ac:dyDescent="0.3">
      <c r="A28">
        <v>17841</v>
      </c>
      <c r="B28" t="s">
        <v>33</v>
      </c>
      <c r="C28" t="s">
        <v>34</v>
      </c>
      <c r="D28" s="3">
        <v>30000</v>
      </c>
      <c r="E28">
        <v>0</v>
      </c>
      <c r="F28" t="s">
        <v>19</v>
      </c>
      <c r="G28" t="s">
        <v>20</v>
      </c>
      <c r="H28" t="s">
        <v>18</v>
      </c>
      <c r="I28">
        <v>1</v>
      </c>
      <c r="J28" t="s">
        <v>16</v>
      </c>
      <c r="K28" t="s">
        <v>17</v>
      </c>
      <c r="L28">
        <v>29</v>
      </c>
      <c r="M28" t="str">
        <f t="shared" si="0"/>
        <v>Adolescent</v>
      </c>
      <c r="N28" t="s">
        <v>15</v>
      </c>
    </row>
    <row r="29" spans="1:14" x14ac:dyDescent="0.3">
      <c r="A29">
        <v>18283</v>
      </c>
      <c r="B29" t="s">
        <v>33</v>
      </c>
      <c r="C29" t="s">
        <v>35</v>
      </c>
      <c r="D29" s="3">
        <v>100000</v>
      </c>
      <c r="E29">
        <v>0</v>
      </c>
      <c r="F29" t="s">
        <v>13</v>
      </c>
      <c r="G29" t="s">
        <v>21</v>
      </c>
      <c r="H29" t="s">
        <v>18</v>
      </c>
      <c r="I29">
        <v>1</v>
      </c>
      <c r="J29" t="s">
        <v>23</v>
      </c>
      <c r="K29" t="s">
        <v>24</v>
      </c>
      <c r="L29">
        <v>40</v>
      </c>
      <c r="M29" t="str">
        <f t="shared" si="0"/>
        <v>Middle age</v>
      </c>
      <c r="N29" t="s">
        <v>18</v>
      </c>
    </row>
    <row r="30" spans="1:14" x14ac:dyDescent="0.3">
      <c r="A30">
        <v>18299</v>
      </c>
      <c r="B30" t="s">
        <v>32</v>
      </c>
      <c r="C30" t="s">
        <v>34</v>
      </c>
      <c r="D30" s="3">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3">
        <v>20000</v>
      </c>
      <c r="E31">
        <v>0</v>
      </c>
      <c r="F31" t="s">
        <v>29</v>
      </c>
      <c r="G31" t="s">
        <v>25</v>
      </c>
      <c r="H31" t="s">
        <v>18</v>
      </c>
      <c r="I31">
        <v>2</v>
      </c>
      <c r="J31" t="s">
        <v>16</v>
      </c>
      <c r="K31" t="s">
        <v>17</v>
      </c>
      <c r="L31">
        <v>32</v>
      </c>
      <c r="M31" t="str">
        <f t="shared" si="0"/>
        <v>Middle age</v>
      </c>
      <c r="N31" t="s">
        <v>15</v>
      </c>
    </row>
    <row r="32" spans="1:14" x14ac:dyDescent="0.3">
      <c r="A32">
        <v>19273</v>
      </c>
      <c r="B32" t="s">
        <v>32</v>
      </c>
      <c r="C32" t="s">
        <v>35</v>
      </c>
      <c r="D32" s="3">
        <v>20000</v>
      </c>
      <c r="E32">
        <v>2</v>
      </c>
      <c r="F32" t="s">
        <v>19</v>
      </c>
      <c r="G32" t="s">
        <v>25</v>
      </c>
      <c r="H32" t="s">
        <v>15</v>
      </c>
      <c r="I32">
        <v>0</v>
      </c>
      <c r="J32" t="s">
        <v>16</v>
      </c>
      <c r="K32" t="s">
        <v>17</v>
      </c>
      <c r="L32">
        <v>63</v>
      </c>
      <c r="M32" t="str">
        <f t="shared" si="0"/>
        <v>Old</v>
      </c>
      <c r="N32" t="s">
        <v>18</v>
      </c>
    </row>
    <row r="33" spans="1:14" x14ac:dyDescent="0.3">
      <c r="A33">
        <v>22400</v>
      </c>
      <c r="B33" t="s">
        <v>32</v>
      </c>
      <c r="C33" t="s">
        <v>34</v>
      </c>
      <c r="D33" s="3">
        <v>10000</v>
      </c>
      <c r="E33">
        <v>0</v>
      </c>
      <c r="F33" t="s">
        <v>19</v>
      </c>
      <c r="G33" t="s">
        <v>25</v>
      </c>
      <c r="H33" t="s">
        <v>18</v>
      </c>
      <c r="I33">
        <v>1</v>
      </c>
      <c r="J33" t="s">
        <v>16</v>
      </c>
      <c r="K33" t="s">
        <v>24</v>
      </c>
      <c r="L33">
        <v>26</v>
      </c>
      <c r="M33" t="str">
        <f t="shared" si="0"/>
        <v>Adolescent</v>
      </c>
      <c r="N33" t="s">
        <v>15</v>
      </c>
    </row>
    <row r="34" spans="1:14" x14ac:dyDescent="0.3">
      <c r="A34">
        <v>20942</v>
      </c>
      <c r="B34" t="s">
        <v>33</v>
      </c>
      <c r="C34" t="s">
        <v>35</v>
      </c>
      <c r="D34" s="3">
        <v>20000</v>
      </c>
      <c r="E34">
        <v>0</v>
      </c>
      <c r="F34" t="s">
        <v>27</v>
      </c>
      <c r="G34" t="s">
        <v>25</v>
      </c>
      <c r="H34" t="s">
        <v>18</v>
      </c>
      <c r="I34">
        <v>1</v>
      </c>
      <c r="J34" t="s">
        <v>23</v>
      </c>
      <c r="K34" t="s">
        <v>17</v>
      </c>
      <c r="L34">
        <v>31</v>
      </c>
      <c r="M34" t="str">
        <f t="shared" si="0"/>
        <v>Middle age</v>
      </c>
      <c r="N34" t="s">
        <v>18</v>
      </c>
    </row>
    <row r="35" spans="1:14" x14ac:dyDescent="0.3">
      <c r="A35">
        <v>18484</v>
      </c>
      <c r="B35" t="s">
        <v>33</v>
      </c>
      <c r="C35" t="s">
        <v>34</v>
      </c>
      <c r="D35" s="3">
        <v>80000</v>
      </c>
      <c r="E35">
        <v>2</v>
      </c>
      <c r="F35" t="s">
        <v>27</v>
      </c>
      <c r="G35" t="s">
        <v>14</v>
      </c>
      <c r="H35" t="s">
        <v>18</v>
      </c>
      <c r="I35">
        <v>2</v>
      </c>
      <c r="J35" t="s">
        <v>26</v>
      </c>
      <c r="K35" t="s">
        <v>24</v>
      </c>
      <c r="L35">
        <v>50</v>
      </c>
      <c r="M35" t="str">
        <f t="shared" si="0"/>
        <v>Middle age</v>
      </c>
      <c r="N35" t="s">
        <v>15</v>
      </c>
    </row>
    <row r="36" spans="1:14" x14ac:dyDescent="0.3">
      <c r="A36">
        <v>12291</v>
      </c>
      <c r="B36" t="s">
        <v>33</v>
      </c>
      <c r="C36" t="s">
        <v>34</v>
      </c>
      <c r="D36" s="3">
        <v>90000</v>
      </c>
      <c r="E36">
        <v>5</v>
      </c>
      <c r="F36" t="s">
        <v>19</v>
      </c>
      <c r="G36" t="s">
        <v>21</v>
      </c>
      <c r="H36" t="s">
        <v>18</v>
      </c>
      <c r="I36">
        <v>2</v>
      </c>
      <c r="J36" t="s">
        <v>22</v>
      </c>
      <c r="K36" t="s">
        <v>17</v>
      </c>
      <c r="L36">
        <v>62</v>
      </c>
      <c r="M36" t="str">
        <f t="shared" si="0"/>
        <v>Old</v>
      </c>
      <c r="N36" t="s">
        <v>15</v>
      </c>
    </row>
    <row r="37" spans="1:14" x14ac:dyDescent="0.3">
      <c r="A37">
        <v>28380</v>
      </c>
      <c r="B37" t="s">
        <v>33</v>
      </c>
      <c r="C37" t="s">
        <v>35</v>
      </c>
      <c r="D37" s="3">
        <v>10000</v>
      </c>
      <c r="E37">
        <v>5</v>
      </c>
      <c r="F37" t="s">
        <v>29</v>
      </c>
      <c r="G37" t="s">
        <v>25</v>
      </c>
      <c r="H37" t="s">
        <v>18</v>
      </c>
      <c r="I37">
        <v>2</v>
      </c>
      <c r="J37" t="s">
        <v>16</v>
      </c>
      <c r="K37" t="s">
        <v>17</v>
      </c>
      <c r="L37">
        <v>41</v>
      </c>
      <c r="M37" t="str">
        <f t="shared" si="0"/>
        <v>Middle age</v>
      </c>
      <c r="N37" t="s">
        <v>18</v>
      </c>
    </row>
    <row r="38" spans="1:14" x14ac:dyDescent="0.3">
      <c r="A38">
        <v>17891</v>
      </c>
      <c r="B38" t="s">
        <v>32</v>
      </c>
      <c r="C38" t="s">
        <v>35</v>
      </c>
      <c r="D38" s="3">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3">
        <v>30000</v>
      </c>
      <c r="E39">
        <v>0</v>
      </c>
      <c r="F39" t="s">
        <v>19</v>
      </c>
      <c r="G39" t="s">
        <v>20</v>
      </c>
      <c r="H39" t="s">
        <v>18</v>
      </c>
      <c r="I39">
        <v>1</v>
      </c>
      <c r="J39" t="s">
        <v>22</v>
      </c>
      <c r="K39" t="s">
        <v>17</v>
      </c>
      <c r="L39">
        <v>30</v>
      </c>
      <c r="M39" t="str">
        <f t="shared" si="0"/>
        <v>Adolescent</v>
      </c>
      <c r="N39" t="s">
        <v>18</v>
      </c>
    </row>
    <row r="40" spans="1:14" x14ac:dyDescent="0.3">
      <c r="A40">
        <v>26863</v>
      </c>
      <c r="B40" t="s">
        <v>33</v>
      </c>
      <c r="C40" t="s">
        <v>34</v>
      </c>
      <c r="D40" s="3">
        <v>20000</v>
      </c>
      <c r="E40">
        <v>0</v>
      </c>
      <c r="F40" t="s">
        <v>27</v>
      </c>
      <c r="G40" t="s">
        <v>25</v>
      </c>
      <c r="H40" t="s">
        <v>18</v>
      </c>
      <c r="I40">
        <v>1</v>
      </c>
      <c r="J40" t="s">
        <v>22</v>
      </c>
      <c r="K40" t="s">
        <v>17</v>
      </c>
      <c r="L40">
        <v>28</v>
      </c>
      <c r="M40" t="str">
        <f t="shared" si="0"/>
        <v>Adolescent</v>
      </c>
      <c r="N40" t="s">
        <v>18</v>
      </c>
    </row>
    <row r="41" spans="1:14" x14ac:dyDescent="0.3">
      <c r="A41">
        <v>16259</v>
      </c>
      <c r="B41" t="s">
        <v>33</v>
      </c>
      <c r="C41" t="s">
        <v>35</v>
      </c>
      <c r="D41" s="3">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3">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3">
        <v>40000</v>
      </c>
      <c r="E43">
        <v>2</v>
      </c>
      <c r="F43" t="s">
        <v>13</v>
      </c>
      <c r="G43" t="s">
        <v>28</v>
      </c>
      <c r="H43" t="s">
        <v>15</v>
      </c>
      <c r="I43">
        <v>2</v>
      </c>
      <c r="J43" t="s">
        <v>23</v>
      </c>
      <c r="K43" t="s">
        <v>24</v>
      </c>
      <c r="L43">
        <v>65</v>
      </c>
      <c r="M43" t="str">
        <f t="shared" si="0"/>
        <v>Old</v>
      </c>
      <c r="N43" t="s">
        <v>15</v>
      </c>
    </row>
    <row r="44" spans="1:14" x14ac:dyDescent="0.3">
      <c r="A44">
        <v>17703</v>
      </c>
      <c r="B44" t="s">
        <v>32</v>
      </c>
      <c r="C44" t="s">
        <v>35</v>
      </c>
      <c r="D44" s="3">
        <v>10000</v>
      </c>
      <c r="E44">
        <v>1</v>
      </c>
      <c r="F44" t="s">
        <v>30</v>
      </c>
      <c r="G44" t="s">
        <v>25</v>
      </c>
      <c r="H44" t="s">
        <v>15</v>
      </c>
      <c r="I44">
        <v>0</v>
      </c>
      <c r="J44" t="s">
        <v>16</v>
      </c>
      <c r="K44" t="s">
        <v>17</v>
      </c>
      <c r="L44">
        <v>40</v>
      </c>
      <c r="M44" t="str">
        <f t="shared" si="0"/>
        <v>Middle age</v>
      </c>
      <c r="N44" t="s">
        <v>18</v>
      </c>
    </row>
    <row r="45" spans="1:14" x14ac:dyDescent="0.3">
      <c r="A45">
        <v>17185</v>
      </c>
      <c r="B45" t="s">
        <v>32</v>
      </c>
      <c r="C45" t="s">
        <v>35</v>
      </c>
      <c r="D45" s="3">
        <v>170000</v>
      </c>
      <c r="E45">
        <v>4</v>
      </c>
      <c r="F45" t="s">
        <v>19</v>
      </c>
      <c r="G45" t="s">
        <v>21</v>
      </c>
      <c r="H45" t="s">
        <v>18</v>
      </c>
      <c r="I45">
        <v>3</v>
      </c>
      <c r="J45" t="s">
        <v>23</v>
      </c>
      <c r="K45" t="s">
        <v>17</v>
      </c>
      <c r="L45">
        <v>48</v>
      </c>
      <c r="M45" t="str">
        <f t="shared" si="0"/>
        <v>Middle age</v>
      </c>
      <c r="N45" t="s">
        <v>15</v>
      </c>
    </row>
    <row r="46" spans="1:14" x14ac:dyDescent="0.3">
      <c r="A46">
        <v>29380</v>
      </c>
      <c r="B46" t="s">
        <v>32</v>
      </c>
      <c r="C46" t="s">
        <v>35</v>
      </c>
      <c r="D46" s="3">
        <v>20000</v>
      </c>
      <c r="E46">
        <v>3</v>
      </c>
      <c r="F46" t="s">
        <v>27</v>
      </c>
      <c r="G46" t="s">
        <v>25</v>
      </c>
      <c r="H46" t="s">
        <v>15</v>
      </c>
      <c r="I46">
        <v>0</v>
      </c>
      <c r="J46" t="s">
        <v>16</v>
      </c>
      <c r="K46" t="s">
        <v>17</v>
      </c>
      <c r="L46">
        <v>41</v>
      </c>
      <c r="M46" t="str">
        <f t="shared" si="0"/>
        <v>Middle age</v>
      </c>
      <c r="N46" t="s">
        <v>15</v>
      </c>
    </row>
    <row r="47" spans="1:14" x14ac:dyDescent="0.3">
      <c r="A47">
        <v>23986</v>
      </c>
      <c r="B47" t="s">
        <v>32</v>
      </c>
      <c r="C47" t="s">
        <v>35</v>
      </c>
      <c r="D47" s="3">
        <v>20000</v>
      </c>
      <c r="E47">
        <v>1</v>
      </c>
      <c r="F47" t="s">
        <v>13</v>
      </c>
      <c r="G47" t="s">
        <v>20</v>
      </c>
      <c r="H47" t="s">
        <v>15</v>
      </c>
      <c r="I47">
        <v>0</v>
      </c>
      <c r="J47" t="s">
        <v>16</v>
      </c>
      <c r="K47" t="s">
        <v>17</v>
      </c>
      <c r="L47">
        <v>66</v>
      </c>
      <c r="M47" t="str">
        <f t="shared" si="0"/>
        <v>Old</v>
      </c>
      <c r="N47" t="s">
        <v>15</v>
      </c>
    </row>
    <row r="48" spans="1:14" x14ac:dyDescent="0.3">
      <c r="A48">
        <v>24466</v>
      </c>
      <c r="B48" t="s">
        <v>32</v>
      </c>
      <c r="C48" t="s">
        <v>35</v>
      </c>
      <c r="D48" s="3">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3">
        <v>40000</v>
      </c>
      <c r="E49">
        <v>2</v>
      </c>
      <c r="F49" t="s">
        <v>19</v>
      </c>
      <c r="G49" t="s">
        <v>14</v>
      </c>
      <c r="H49" t="s">
        <v>15</v>
      </c>
      <c r="I49">
        <v>2</v>
      </c>
      <c r="J49" t="s">
        <v>23</v>
      </c>
      <c r="K49" t="s">
        <v>24</v>
      </c>
      <c r="L49">
        <v>52</v>
      </c>
      <c r="M49" t="str">
        <f t="shared" si="0"/>
        <v>Middle age</v>
      </c>
      <c r="N49" t="s">
        <v>15</v>
      </c>
    </row>
    <row r="50" spans="1:14" x14ac:dyDescent="0.3">
      <c r="A50">
        <v>19487</v>
      </c>
      <c r="B50" t="s">
        <v>32</v>
      </c>
      <c r="C50" t="s">
        <v>34</v>
      </c>
      <c r="D50" s="3">
        <v>30000</v>
      </c>
      <c r="E50">
        <v>2</v>
      </c>
      <c r="F50" t="s">
        <v>19</v>
      </c>
      <c r="G50" t="s">
        <v>20</v>
      </c>
      <c r="H50" t="s">
        <v>18</v>
      </c>
      <c r="I50">
        <v>2</v>
      </c>
      <c r="J50" t="s">
        <v>16</v>
      </c>
      <c r="K50" t="s">
        <v>17</v>
      </c>
      <c r="L50">
        <v>42</v>
      </c>
      <c r="M50" t="str">
        <f t="shared" si="0"/>
        <v>Middle age</v>
      </c>
      <c r="N50" t="s">
        <v>18</v>
      </c>
    </row>
    <row r="51" spans="1:14" x14ac:dyDescent="0.3">
      <c r="A51">
        <v>14939</v>
      </c>
      <c r="B51" t="s">
        <v>33</v>
      </c>
      <c r="C51" t="s">
        <v>34</v>
      </c>
      <c r="D51" s="3">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3">
        <v>30000</v>
      </c>
      <c r="E52">
        <v>0</v>
      </c>
      <c r="F52" t="s">
        <v>19</v>
      </c>
      <c r="G52" t="s">
        <v>20</v>
      </c>
      <c r="H52" t="s">
        <v>18</v>
      </c>
      <c r="I52">
        <v>1</v>
      </c>
      <c r="J52" t="s">
        <v>16</v>
      </c>
      <c r="K52" t="s">
        <v>17</v>
      </c>
      <c r="L52">
        <v>28</v>
      </c>
      <c r="M52" t="str">
        <f t="shared" si="0"/>
        <v>Adolescent</v>
      </c>
      <c r="N52" t="s">
        <v>18</v>
      </c>
    </row>
    <row r="53" spans="1:14" x14ac:dyDescent="0.3">
      <c r="A53">
        <v>20619</v>
      </c>
      <c r="B53" t="s">
        <v>33</v>
      </c>
      <c r="C53" t="s">
        <v>34</v>
      </c>
      <c r="D53" s="3">
        <v>80000</v>
      </c>
      <c r="E53">
        <v>0</v>
      </c>
      <c r="F53" t="s">
        <v>13</v>
      </c>
      <c r="G53" t="s">
        <v>21</v>
      </c>
      <c r="H53" t="s">
        <v>18</v>
      </c>
      <c r="I53">
        <v>4</v>
      </c>
      <c r="J53" t="s">
        <v>42</v>
      </c>
      <c r="K53" t="s">
        <v>24</v>
      </c>
      <c r="L53">
        <v>35</v>
      </c>
      <c r="M53" t="str">
        <f t="shared" si="0"/>
        <v>Middle age</v>
      </c>
      <c r="N53" t="s">
        <v>18</v>
      </c>
    </row>
    <row r="54" spans="1:14" x14ac:dyDescent="0.3">
      <c r="A54">
        <v>12558</v>
      </c>
      <c r="B54" t="s">
        <v>32</v>
      </c>
      <c r="C54" t="s">
        <v>35</v>
      </c>
      <c r="D54" s="3">
        <v>20000</v>
      </c>
      <c r="E54">
        <v>1</v>
      </c>
      <c r="F54" t="s">
        <v>13</v>
      </c>
      <c r="G54" t="s">
        <v>20</v>
      </c>
      <c r="H54" t="s">
        <v>15</v>
      </c>
      <c r="I54">
        <v>0</v>
      </c>
      <c r="J54" t="s">
        <v>16</v>
      </c>
      <c r="K54" t="s">
        <v>17</v>
      </c>
      <c r="L54">
        <v>65</v>
      </c>
      <c r="M54" t="str">
        <f t="shared" si="0"/>
        <v>Old</v>
      </c>
      <c r="N54" t="s">
        <v>18</v>
      </c>
    </row>
    <row r="55" spans="1:14" x14ac:dyDescent="0.3">
      <c r="A55">
        <v>24871</v>
      </c>
      <c r="B55" t="s">
        <v>33</v>
      </c>
      <c r="C55" t="s">
        <v>35</v>
      </c>
      <c r="D55" s="3">
        <v>90000</v>
      </c>
      <c r="E55">
        <v>4</v>
      </c>
      <c r="F55" t="s">
        <v>27</v>
      </c>
      <c r="G55" t="s">
        <v>28</v>
      </c>
      <c r="H55" t="s">
        <v>18</v>
      </c>
      <c r="I55">
        <v>3</v>
      </c>
      <c r="J55" t="s">
        <v>23</v>
      </c>
      <c r="K55" t="s">
        <v>17</v>
      </c>
      <c r="L55">
        <v>56</v>
      </c>
      <c r="M55" t="str">
        <f t="shared" si="0"/>
        <v>Old</v>
      </c>
      <c r="N55" t="s">
        <v>18</v>
      </c>
    </row>
    <row r="56" spans="1:14" x14ac:dyDescent="0.3">
      <c r="A56">
        <v>17319</v>
      </c>
      <c r="B56" t="s">
        <v>33</v>
      </c>
      <c r="C56" t="s">
        <v>35</v>
      </c>
      <c r="D56" s="3">
        <v>70000</v>
      </c>
      <c r="E56">
        <v>0</v>
      </c>
      <c r="F56" t="s">
        <v>13</v>
      </c>
      <c r="G56" t="s">
        <v>21</v>
      </c>
      <c r="H56" t="s">
        <v>18</v>
      </c>
      <c r="I56">
        <v>1</v>
      </c>
      <c r="J56" t="s">
        <v>23</v>
      </c>
      <c r="K56" t="s">
        <v>24</v>
      </c>
      <c r="L56">
        <v>42</v>
      </c>
      <c r="M56" t="str">
        <f t="shared" si="0"/>
        <v>Middle age</v>
      </c>
      <c r="N56" t="s">
        <v>18</v>
      </c>
    </row>
    <row r="57" spans="1:14" x14ac:dyDescent="0.3">
      <c r="A57">
        <v>28906</v>
      </c>
      <c r="B57" t="s">
        <v>32</v>
      </c>
      <c r="C57" t="s">
        <v>34</v>
      </c>
      <c r="D57" s="3">
        <v>80000</v>
      </c>
      <c r="E57">
        <v>4</v>
      </c>
      <c r="F57" t="s">
        <v>27</v>
      </c>
      <c r="G57" t="s">
        <v>21</v>
      </c>
      <c r="H57" t="s">
        <v>15</v>
      </c>
      <c r="I57">
        <v>2</v>
      </c>
      <c r="J57" t="s">
        <v>42</v>
      </c>
      <c r="K57" t="s">
        <v>17</v>
      </c>
      <c r="L57">
        <v>54</v>
      </c>
      <c r="M57" t="str">
        <f t="shared" si="0"/>
        <v>Middle age</v>
      </c>
      <c r="N57" t="s">
        <v>18</v>
      </c>
    </row>
    <row r="58" spans="1:14" x14ac:dyDescent="0.3">
      <c r="A58">
        <v>12808</v>
      </c>
      <c r="B58" t="s">
        <v>32</v>
      </c>
      <c r="C58" t="s">
        <v>34</v>
      </c>
      <c r="D58" s="3">
        <v>40000</v>
      </c>
      <c r="E58">
        <v>0</v>
      </c>
      <c r="F58" t="s">
        <v>13</v>
      </c>
      <c r="G58" t="s">
        <v>20</v>
      </c>
      <c r="H58" t="s">
        <v>15</v>
      </c>
      <c r="I58">
        <v>0</v>
      </c>
      <c r="J58" t="s">
        <v>16</v>
      </c>
      <c r="K58" t="s">
        <v>17</v>
      </c>
      <c r="L58">
        <v>38</v>
      </c>
      <c r="M58" t="str">
        <f t="shared" si="0"/>
        <v>Middle age</v>
      </c>
      <c r="N58" t="s">
        <v>15</v>
      </c>
    </row>
    <row r="59" spans="1:14" x14ac:dyDescent="0.3">
      <c r="A59">
        <v>20567</v>
      </c>
      <c r="B59" t="s">
        <v>32</v>
      </c>
      <c r="C59" t="s">
        <v>34</v>
      </c>
      <c r="D59" s="3">
        <v>130000</v>
      </c>
      <c r="E59">
        <v>4</v>
      </c>
      <c r="F59" t="s">
        <v>19</v>
      </c>
      <c r="G59" t="s">
        <v>21</v>
      </c>
      <c r="H59" t="s">
        <v>18</v>
      </c>
      <c r="I59">
        <v>4</v>
      </c>
      <c r="J59" t="s">
        <v>23</v>
      </c>
      <c r="K59" t="s">
        <v>17</v>
      </c>
      <c r="L59">
        <v>61</v>
      </c>
      <c r="M59" t="str">
        <f t="shared" si="0"/>
        <v>Old</v>
      </c>
      <c r="N59" t="s">
        <v>15</v>
      </c>
    </row>
    <row r="60" spans="1:14" x14ac:dyDescent="0.3">
      <c r="A60">
        <v>25502</v>
      </c>
      <c r="B60" t="s">
        <v>32</v>
      </c>
      <c r="C60" t="s">
        <v>35</v>
      </c>
      <c r="D60" s="3">
        <v>40000</v>
      </c>
      <c r="E60">
        <v>1</v>
      </c>
      <c r="F60" t="s">
        <v>13</v>
      </c>
      <c r="G60" t="s">
        <v>14</v>
      </c>
      <c r="H60" t="s">
        <v>15</v>
      </c>
      <c r="I60">
        <v>0</v>
      </c>
      <c r="J60" t="s">
        <v>16</v>
      </c>
      <c r="K60" t="s">
        <v>17</v>
      </c>
      <c r="L60">
        <v>43</v>
      </c>
      <c r="M60" t="str">
        <f t="shared" si="0"/>
        <v>Middle age</v>
      </c>
      <c r="N60" t="s">
        <v>15</v>
      </c>
    </row>
    <row r="61" spans="1:14" x14ac:dyDescent="0.3">
      <c r="A61">
        <v>15580</v>
      </c>
      <c r="B61" t="s">
        <v>32</v>
      </c>
      <c r="C61" t="s">
        <v>34</v>
      </c>
      <c r="D61" s="3">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3">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3">
        <v>10000</v>
      </c>
      <c r="E63">
        <v>2</v>
      </c>
      <c r="F63" t="s">
        <v>27</v>
      </c>
      <c r="G63" t="s">
        <v>25</v>
      </c>
      <c r="H63" t="s">
        <v>15</v>
      </c>
      <c r="I63">
        <v>0</v>
      </c>
      <c r="J63" t="s">
        <v>16</v>
      </c>
      <c r="K63" t="s">
        <v>17</v>
      </c>
      <c r="L63">
        <v>35</v>
      </c>
      <c r="M63" t="str">
        <f t="shared" si="0"/>
        <v>Middle age</v>
      </c>
      <c r="N63" t="s">
        <v>18</v>
      </c>
    </row>
    <row r="64" spans="1:14" x14ac:dyDescent="0.3">
      <c r="A64">
        <v>16713</v>
      </c>
      <c r="B64" t="s">
        <v>32</v>
      </c>
      <c r="C64" t="s">
        <v>34</v>
      </c>
      <c r="D64" s="3">
        <v>40000</v>
      </c>
      <c r="E64">
        <v>2</v>
      </c>
      <c r="F64" t="s">
        <v>13</v>
      </c>
      <c r="G64" t="s">
        <v>28</v>
      </c>
      <c r="H64" t="s">
        <v>15</v>
      </c>
      <c r="I64">
        <v>1</v>
      </c>
      <c r="J64" t="s">
        <v>16</v>
      </c>
      <c r="K64" t="s">
        <v>24</v>
      </c>
      <c r="L64">
        <v>52</v>
      </c>
      <c r="M64" t="str">
        <f t="shared" si="0"/>
        <v>Middle age</v>
      </c>
      <c r="N64" t="s">
        <v>15</v>
      </c>
    </row>
    <row r="65" spans="1:14" x14ac:dyDescent="0.3">
      <c r="A65">
        <v>16185</v>
      </c>
      <c r="B65" t="s">
        <v>33</v>
      </c>
      <c r="C65" t="s">
        <v>34</v>
      </c>
      <c r="D65" s="3">
        <v>60000</v>
      </c>
      <c r="E65">
        <v>4</v>
      </c>
      <c r="F65" t="s">
        <v>13</v>
      </c>
      <c r="G65" t="s">
        <v>21</v>
      </c>
      <c r="H65" t="s">
        <v>15</v>
      </c>
      <c r="I65">
        <v>3</v>
      </c>
      <c r="J65" t="s">
        <v>42</v>
      </c>
      <c r="K65" t="s">
        <v>24</v>
      </c>
      <c r="L65">
        <v>41</v>
      </c>
      <c r="M65" t="str">
        <f t="shared" si="0"/>
        <v>Middle age</v>
      </c>
      <c r="N65" t="s">
        <v>18</v>
      </c>
    </row>
    <row r="66" spans="1:14" x14ac:dyDescent="0.3">
      <c r="A66">
        <v>14927</v>
      </c>
      <c r="B66" t="s">
        <v>32</v>
      </c>
      <c r="C66" t="s">
        <v>35</v>
      </c>
      <c r="D66" s="3">
        <v>30000</v>
      </c>
      <c r="E66">
        <v>1</v>
      </c>
      <c r="F66" t="s">
        <v>13</v>
      </c>
      <c r="G66" t="s">
        <v>20</v>
      </c>
      <c r="H66" t="s">
        <v>15</v>
      </c>
      <c r="I66">
        <v>0</v>
      </c>
      <c r="J66" t="s">
        <v>16</v>
      </c>
      <c r="K66" t="s">
        <v>17</v>
      </c>
      <c r="L66">
        <v>37</v>
      </c>
      <c r="M66" t="str">
        <f t="shared" si="0"/>
        <v>Middle age</v>
      </c>
      <c r="N66" t="s">
        <v>15</v>
      </c>
    </row>
    <row r="67" spans="1:14" x14ac:dyDescent="0.3">
      <c r="A67">
        <v>29337</v>
      </c>
      <c r="B67" t="s">
        <v>33</v>
      </c>
      <c r="C67" t="s">
        <v>34</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32</v>
      </c>
      <c r="C68" t="s">
        <v>35</v>
      </c>
      <c r="D68" s="3">
        <v>40000</v>
      </c>
      <c r="E68">
        <v>0</v>
      </c>
      <c r="F68" t="s">
        <v>30</v>
      </c>
      <c r="G68" t="s">
        <v>20</v>
      </c>
      <c r="H68" t="s">
        <v>15</v>
      </c>
      <c r="I68">
        <v>0</v>
      </c>
      <c r="J68" t="s">
        <v>16</v>
      </c>
      <c r="K68" t="s">
        <v>17</v>
      </c>
      <c r="L68">
        <v>37</v>
      </c>
      <c r="M68" t="str">
        <f t="shared" si="1"/>
        <v>Middle age</v>
      </c>
      <c r="N68" t="s">
        <v>15</v>
      </c>
    </row>
    <row r="69" spans="1:14" x14ac:dyDescent="0.3">
      <c r="A69">
        <v>25303</v>
      </c>
      <c r="B69" t="s">
        <v>33</v>
      </c>
      <c r="C69" t="s">
        <v>34</v>
      </c>
      <c r="D69" s="3">
        <v>30000</v>
      </c>
      <c r="E69">
        <v>0</v>
      </c>
      <c r="F69" t="s">
        <v>27</v>
      </c>
      <c r="G69" t="s">
        <v>25</v>
      </c>
      <c r="H69" t="s">
        <v>15</v>
      </c>
      <c r="I69">
        <v>1</v>
      </c>
      <c r="J69" t="s">
        <v>22</v>
      </c>
      <c r="K69" t="s">
        <v>17</v>
      </c>
      <c r="L69">
        <v>33</v>
      </c>
      <c r="M69" t="str">
        <f t="shared" si="1"/>
        <v>Middle age</v>
      </c>
      <c r="N69" t="s">
        <v>15</v>
      </c>
    </row>
    <row r="70" spans="1:14" x14ac:dyDescent="0.3">
      <c r="A70">
        <v>14813</v>
      </c>
      <c r="B70" t="s">
        <v>33</v>
      </c>
      <c r="C70" t="s">
        <v>35</v>
      </c>
      <c r="D70" s="3">
        <v>20000</v>
      </c>
      <c r="E70">
        <v>4</v>
      </c>
      <c r="F70" t="s">
        <v>27</v>
      </c>
      <c r="G70" t="s">
        <v>25</v>
      </c>
      <c r="H70" t="s">
        <v>15</v>
      </c>
      <c r="I70">
        <v>1</v>
      </c>
      <c r="J70" t="s">
        <v>16</v>
      </c>
      <c r="K70" t="s">
        <v>17</v>
      </c>
      <c r="L70">
        <v>43</v>
      </c>
      <c r="M70" t="str">
        <f t="shared" si="1"/>
        <v>Middle age</v>
      </c>
      <c r="N70" t="s">
        <v>15</v>
      </c>
    </row>
    <row r="71" spans="1:14" x14ac:dyDescent="0.3">
      <c r="A71">
        <v>16438</v>
      </c>
      <c r="B71" t="s">
        <v>32</v>
      </c>
      <c r="C71" t="s">
        <v>35</v>
      </c>
      <c r="D71" s="3">
        <v>10000</v>
      </c>
      <c r="E71">
        <v>0</v>
      </c>
      <c r="F71" t="s">
        <v>29</v>
      </c>
      <c r="G71" t="s">
        <v>25</v>
      </c>
      <c r="H71" t="s">
        <v>18</v>
      </c>
      <c r="I71">
        <v>2</v>
      </c>
      <c r="J71" t="s">
        <v>16</v>
      </c>
      <c r="K71" t="s">
        <v>17</v>
      </c>
      <c r="L71">
        <v>30</v>
      </c>
      <c r="M71" t="str">
        <f t="shared" si="1"/>
        <v>Adolescent</v>
      </c>
      <c r="N71" t="s">
        <v>18</v>
      </c>
    </row>
    <row r="72" spans="1:14" x14ac:dyDescent="0.3">
      <c r="A72">
        <v>14238</v>
      </c>
      <c r="B72" t="s">
        <v>32</v>
      </c>
      <c r="C72" t="s">
        <v>34</v>
      </c>
      <c r="D72" s="3">
        <v>120000</v>
      </c>
      <c r="E72">
        <v>0</v>
      </c>
      <c r="F72" t="s">
        <v>29</v>
      </c>
      <c r="G72" t="s">
        <v>21</v>
      </c>
      <c r="H72" t="s">
        <v>15</v>
      </c>
      <c r="I72">
        <v>4</v>
      </c>
      <c r="J72" t="s">
        <v>42</v>
      </c>
      <c r="K72" t="s">
        <v>24</v>
      </c>
      <c r="L72">
        <v>36</v>
      </c>
      <c r="M72" t="str">
        <f t="shared" si="1"/>
        <v>Middle age</v>
      </c>
      <c r="N72" t="s">
        <v>15</v>
      </c>
    </row>
    <row r="73" spans="1:14" x14ac:dyDescent="0.3">
      <c r="A73">
        <v>16200</v>
      </c>
      <c r="B73" t="s">
        <v>33</v>
      </c>
      <c r="C73" t="s">
        <v>35</v>
      </c>
      <c r="D73" s="3">
        <v>10000</v>
      </c>
      <c r="E73">
        <v>0</v>
      </c>
      <c r="F73" t="s">
        <v>29</v>
      </c>
      <c r="G73" t="s">
        <v>25</v>
      </c>
      <c r="H73" t="s">
        <v>18</v>
      </c>
      <c r="I73">
        <v>2</v>
      </c>
      <c r="J73" t="s">
        <v>16</v>
      </c>
      <c r="K73" t="s">
        <v>17</v>
      </c>
      <c r="L73">
        <v>35</v>
      </c>
      <c r="M73" t="str">
        <f t="shared" si="1"/>
        <v>Middle age</v>
      </c>
      <c r="N73" t="s">
        <v>18</v>
      </c>
    </row>
    <row r="74" spans="1:14" x14ac:dyDescent="0.3">
      <c r="A74">
        <v>24857</v>
      </c>
      <c r="B74" t="s">
        <v>32</v>
      </c>
      <c r="C74" t="s">
        <v>35</v>
      </c>
      <c r="D74" s="3">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3">
        <v>20000</v>
      </c>
      <c r="E75">
        <v>0</v>
      </c>
      <c r="F75" t="s">
        <v>19</v>
      </c>
      <c r="G75" t="s">
        <v>25</v>
      </c>
      <c r="H75" t="s">
        <v>18</v>
      </c>
      <c r="I75">
        <v>1</v>
      </c>
      <c r="J75" t="s">
        <v>22</v>
      </c>
      <c r="K75" t="s">
        <v>17</v>
      </c>
      <c r="L75">
        <v>36</v>
      </c>
      <c r="M75" t="str">
        <f t="shared" si="1"/>
        <v>Middle age</v>
      </c>
      <c r="N75" t="s">
        <v>15</v>
      </c>
    </row>
    <row r="76" spans="1:14" x14ac:dyDescent="0.3">
      <c r="A76">
        <v>14517</v>
      </c>
      <c r="B76" t="s">
        <v>32</v>
      </c>
      <c r="C76" t="s">
        <v>35</v>
      </c>
      <c r="D76" s="3">
        <v>20000</v>
      </c>
      <c r="E76">
        <v>3</v>
      </c>
      <c r="F76" t="s">
        <v>27</v>
      </c>
      <c r="G76" t="s">
        <v>14</v>
      </c>
      <c r="H76" t="s">
        <v>18</v>
      </c>
      <c r="I76">
        <v>2</v>
      </c>
      <c r="J76" t="s">
        <v>26</v>
      </c>
      <c r="K76" t="s">
        <v>24</v>
      </c>
      <c r="L76">
        <v>62</v>
      </c>
      <c r="M76" t="str">
        <f t="shared" si="1"/>
        <v>Old</v>
      </c>
      <c r="N76" t="s">
        <v>18</v>
      </c>
    </row>
    <row r="77" spans="1:14" x14ac:dyDescent="0.3">
      <c r="A77">
        <v>12678</v>
      </c>
      <c r="B77" t="s">
        <v>33</v>
      </c>
      <c r="C77" t="s">
        <v>35</v>
      </c>
      <c r="D77" s="3">
        <v>130000</v>
      </c>
      <c r="E77">
        <v>4</v>
      </c>
      <c r="F77" t="s">
        <v>27</v>
      </c>
      <c r="G77" t="s">
        <v>28</v>
      </c>
      <c r="H77" t="s">
        <v>15</v>
      </c>
      <c r="I77">
        <v>4</v>
      </c>
      <c r="J77" t="s">
        <v>16</v>
      </c>
      <c r="K77" t="s">
        <v>24</v>
      </c>
      <c r="L77">
        <v>31</v>
      </c>
      <c r="M77" t="str">
        <f t="shared" si="1"/>
        <v>Middle age</v>
      </c>
      <c r="N77" t="s">
        <v>18</v>
      </c>
    </row>
    <row r="78" spans="1:14" x14ac:dyDescent="0.3">
      <c r="A78">
        <v>16188</v>
      </c>
      <c r="B78" t="s">
        <v>33</v>
      </c>
      <c r="C78" t="s">
        <v>35</v>
      </c>
      <c r="D78" s="3">
        <v>20000</v>
      </c>
      <c r="E78">
        <v>0</v>
      </c>
      <c r="F78" t="s">
        <v>29</v>
      </c>
      <c r="G78" t="s">
        <v>25</v>
      </c>
      <c r="H78" t="s">
        <v>18</v>
      </c>
      <c r="I78">
        <v>2</v>
      </c>
      <c r="J78" t="s">
        <v>26</v>
      </c>
      <c r="K78" t="s">
        <v>17</v>
      </c>
      <c r="L78">
        <v>26</v>
      </c>
      <c r="M78" t="str">
        <f t="shared" si="1"/>
        <v>Adolescent</v>
      </c>
      <c r="N78" t="s">
        <v>18</v>
      </c>
    </row>
    <row r="79" spans="1:14" x14ac:dyDescent="0.3">
      <c r="A79">
        <v>27969</v>
      </c>
      <c r="B79" t="s">
        <v>32</v>
      </c>
      <c r="C79" t="s">
        <v>34</v>
      </c>
      <c r="D79" s="3">
        <v>80000</v>
      </c>
      <c r="E79">
        <v>0</v>
      </c>
      <c r="F79" t="s">
        <v>13</v>
      </c>
      <c r="G79" t="s">
        <v>21</v>
      </c>
      <c r="H79" t="s">
        <v>15</v>
      </c>
      <c r="I79">
        <v>2</v>
      </c>
      <c r="J79" t="s">
        <v>42</v>
      </c>
      <c r="K79" t="s">
        <v>24</v>
      </c>
      <c r="L79">
        <v>29</v>
      </c>
      <c r="M79" t="str">
        <f t="shared" si="1"/>
        <v>Adolescent</v>
      </c>
      <c r="N79" t="s">
        <v>15</v>
      </c>
    </row>
    <row r="80" spans="1:14" x14ac:dyDescent="0.3">
      <c r="A80">
        <v>15752</v>
      </c>
      <c r="B80" t="s">
        <v>32</v>
      </c>
      <c r="C80" t="s">
        <v>34</v>
      </c>
      <c r="D80" s="3">
        <v>80000</v>
      </c>
      <c r="E80">
        <v>2</v>
      </c>
      <c r="F80" t="s">
        <v>27</v>
      </c>
      <c r="G80" t="s">
        <v>14</v>
      </c>
      <c r="H80" t="s">
        <v>18</v>
      </c>
      <c r="I80">
        <v>2</v>
      </c>
      <c r="J80" t="s">
        <v>26</v>
      </c>
      <c r="K80" t="s">
        <v>24</v>
      </c>
      <c r="L80">
        <v>50</v>
      </c>
      <c r="M80" t="str">
        <f t="shared" si="1"/>
        <v>Middle age</v>
      </c>
      <c r="N80" t="s">
        <v>15</v>
      </c>
    </row>
    <row r="81" spans="1:14" x14ac:dyDescent="0.3">
      <c r="A81">
        <v>27745</v>
      </c>
      <c r="B81" t="s">
        <v>33</v>
      </c>
      <c r="C81" t="s">
        <v>34</v>
      </c>
      <c r="D81" s="3">
        <v>40000</v>
      </c>
      <c r="E81">
        <v>2</v>
      </c>
      <c r="F81" t="s">
        <v>13</v>
      </c>
      <c r="G81" t="s">
        <v>28</v>
      </c>
      <c r="H81" t="s">
        <v>15</v>
      </c>
      <c r="I81">
        <v>2</v>
      </c>
      <c r="J81" t="s">
        <v>23</v>
      </c>
      <c r="K81" t="s">
        <v>24</v>
      </c>
      <c r="L81">
        <v>63</v>
      </c>
      <c r="M81" t="str">
        <f t="shared" si="1"/>
        <v>Old</v>
      </c>
      <c r="N81" t="s">
        <v>15</v>
      </c>
    </row>
    <row r="82" spans="1:14" x14ac:dyDescent="0.3">
      <c r="A82">
        <v>20828</v>
      </c>
      <c r="B82" t="s">
        <v>32</v>
      </c>
      <c r="C82" t="s">
        <v>35</v>
      </c>
      <c r="D82" s="3">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3">
        <v>10000</v>
      </c>
      <c r="E83">
        <v>4</v>
      </c>
      <c r="F83" t="s">
        <v>29</v>
      </c>
      <c r="G83" t="s">
        <v>25</v>
      </c>
      <c r="H83" t="s">
        <v>15</v>
      </c>
      <c r="I83">
        <v>2</v>
      </c>
      <c r="J83" t="s">
        <v>16</v>
      </c>
      <c r="K83" t="s">
        <v>17</v>
      </c>
      <c r="L83">
        <v>40</v>
      </c>
      <c r="M83" t="str">
        <f t="shared" si="1"/>
        <v>Middle age</v>
      </c>
      <c r="N83" t="s">
        <v>18</v>
      </c>
    </row>
    <row r="84" spans="1:14" x14ac:dyDescent="0.3">
      <c r="A84">
        <v>26941</v>
      </c>
      <c r="B84" t="s">
        <v>32</v>
      </c>
      <c r="C84" t="s">
        <v>34</v>
      </c>
      <c r="D84" s="3">
        <v>30000</v>
      </c>
      <c r="E84">
        <v>0</v>
      </c>
      <c r="F84" t="s">
        <v>13</v>
      </c>
      <c r="G84" t="s">
        <v>20</v>
      </c>
      <c r="H84" t="s">
        <v>15</v>
      </c>
      <c r="I84">
        <v>0</v>
      </c>
      <c r="J84" t="s">
        <v>16</v>
      </c>
      <c r="K84" t="s">
        <v>17</v>
      </c>
      <c r="L84">
        <v>47</v>
      </c>
      <c r="M84" t="str">
        <f t="shared" si="1"/>
        <v>Middle age</v>
      </c>
      <c r="N84" t="s">
        <v>15</v>
      </c>
    </row>
    <row r="85" spans="1:14" x14ac:dyDescent="0.3">
      <c r="A85">
        <v>28412</v>
      </c>
      <c r="B85" t="s">
        <v>33</v>
      </c>
      <c r="C85" t="s">
        <v>34</v>
      </c>
      <c r="D85" s="3">
        <v>20000</v>
      </c>
      <c r="E85">
        <v>0</v>
      </c>
      <c r="F85" t="s">
        <v>27</v>
      </c>
      <c r="G85" t="s">
        <v>25</v>
      </c>
      <c r="H85" t="s">
        <v>18</v>
      </c>
      <c r="I85">
        <v>1</v>
      </c>
      <c r="J85" t="s">
        <v>22</v>
      </c>
      <c r="K85" t="s">
        <v>17</v>
      </c>
      <c r="L85">
        <v>29</v>
      </c>
      <c r="M85" t="str">
        <f t="shared" si="1"/>
        <v>Adolescent</v>
      </c>
      <c r="N85" t="s">
        <v>18</v>
      </c>
    </row>
    <row r="86" spans="1:14" x14ac:dyDescent="0.3">
      <c r="A86">
        <v>24485</v>
      </c>
      <c r="B86" t="s">
        <v>33</v>
      </c>
      <c r="C86" t="s">
        <v>34</v>
      </c>
      <c r="D86" s="3">
        <v>40000</v>
      </c>
      <c r="E86">
        <v>2</v>
      </c>
      <c r="F86" t="s">
        <v>13</v>
      </c>
      <c r="G86" t="s">
        <v>28</v>
      </c>
      <c r="H86" t="s">
        <v>18</v>
      </c>
      <c r="I86">
        <v>1</v>
      </c>
      <c r="J86" t="s">
        <v>23</v>
      </c>
      <c r="K86" t="s">
        <v>24</v>
      </c>
      <c r="L86">
        <v>52</v>
      </c>
      <c r="M86" t="str">
        <f t="shared" si="1"/>
        <v>Middle age</v>
      </c>
      <c r="N86" t="s">
        <v>15</v>
      </c>
    </row>
    <row r="87" spans="1:14" x14ac:dyDescent="0.3">
      <c r="A87">
        <v>16514</v>
      </c>
      <c r="B87" t="s">
        <v>33</v>
      </c>
      <c r="C87" t="s">
        <v>34</v>
      </c>
      <c r="D87" s="3">
        <v>10000</v>
      </c>
      <c r="E87">
        <v>0</v>
      </c>
      <c r="F87" t="s">
        <v>19</v>
      </c>
      <c r="G87" t="s">
        <v>25</v>
      </c>
      <c r="H87" t="s">
        <v>15</v>
      </c>
      <c r="I87">
        <v>1</v>
      </c>
      <c r="J87" t="s">
        <v>26</v>
      </c>
      <c r="K87" t="s">
        <v>24</v>
      </c>
      <c r="L87">
        <v>26</v>
      </c>
      <c r="M87" t="str">
        <f t="shared" si="1"/>
        <v>Adolescent</v>
      </c>
      <c r="N87" t="s">
        <v>15</v>
      </c>
    </row>
    <row r="88" spans="1:14" x14ac:dyDescent="0.3">
      <c r="A88">
        <v>17191</v>
      </c>
      <c r="B88" t="s">
        <v>33</v>
      </c>
      <c r="C88" t="s">
        <v>34</v>
      </c>
      <c r="D88" s="3">
        <v>130000</v>
      </c>
      <c r="E88">
        <v>3</v>
      </c>
      <c r="F88" t="s">
        <v>19</v>
      </c>
      <c r="G88" t="s">
        <v>21</v>
      </c>
      <c r="H88" t="s">
        <v>18</v>
      </c>
      <c r="I88">
        <v>3</v>
      </c>
      <c r="J88" t="s">
        <v>16</v>
      </c>
      <c r="K88" t="s">
        <v>17</v>
      </c>
      <c r="L88">
        <v>51</v>
      </c>
      <c r="M88" t="str">
        <f t="shared" si="1"/>
        <v>Middle age</v>
      </c>
      <c r="N88" t="s">
        <v>15</v>
      </c>
    </row>
    <row r="89" spans="1:14" x14ac:dyDescent="0.3">
      <c r="A89">
        <v>19608</v>
      </c>
      <c r="B89" t="s">
        <v>32</v>
      </c>
      <c r="C89" t="s">
        <v>34</v>
      </c>
      <c r="D89" s="3">
        <v>80000</v>
      </c>
      <c r="E89">
        <v>5</v>
      </c>
      <c r="F89" t="s">
        <v>13</v>
      </c>
      <c r="G89" t="s">
        <v>21</v>
      </c>
      <c r="H89" t="s">
        <v>15</v>
      </c>
      <c r="I89">
        <v>4</v>
      </c>
      <c r="J89" t="s">
        <v>26</v>
      </c>
      <c r="K89" t="s">
        <v>24</v>
      </c>
      <c r="L89">
        <v>40</v>
      </c>
      <c r="M89" t="str">
        <f t="shared" si="1"/>
        <v>Middle age</v>
      </c>
      <c r="N89" t="s">
        <v>18</v>
      </c>
    </row>
    <row r="90" spans="1:14" x14ac:dyDescent="0.3">
      <c r="A90">
        <v>24119</v>
      </c>
      <c r="B90" t="s">
        <v>33</v>
      </c>
      <c r="C90" t="s">
        <v>34</v>
      </c>
      <c r="D90" s="3">
        <v>30000</v>
      </c>
      <c r="E90">
        <v>0</v>
      </c>
      <c r="F90" t="s">
        <v>19</v>
      </c>
      <c r="G90" t="s">
        <v>20</v>
      </c>
      <c r="H90" t="s">
        <v>18</v>
      </c>
      <c r="I90">
        <v>1</v>
      </c>
      <c r="J90" t="s">
        <v>22</v>
      </c>
      <c r="K90" t="s">
        <v>17</v>
      </c>
      <c r="L90">
        <v>29</v>
      </c>
      <c r="M90" t="str">
        <f t="shared" si="1"/>
        <v>Adolescent</v>
      </c>
      <c r="N90" t="s">
        <v>18</v>
      </c>
    </row>
    <row r="91" spans="1:14" x14ac:dyDescent="0.3">
      <c r="A91">
        <v>25458</v>
      </c>
      <c r="B91" t="s">
        <v>32</v>
      </c>
      <c r="C91" t="s">
        <v>34</v>
      </c>
      <c r="D91" s="3">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3">
        <v>30000</v>
      </c>
      <c r="E92">
        <v>0</v>
      </c>
      <c r="F92" t="s">
        <v>19</v>
      </c>
      <c r="G92" t="s">
        <v>20</v>
      </c>
      <c r="H92" t="s">
        <v>18</v>
      </c>
      <c r="I92">
        <v>1</v>
      </c>
      <c r="J92" t="s">
        <v>16</v>
      </c>
      <c r="K92" t="s">
        <v>17</v>
      </c>
      <c r="L92">
        <v>29</v>
      </c>
      <c r="M92" t="str">
        <f t="shared" si="1"/>
        <v>Adolescent</v>
      </c>
      <c r="N92" t="s">
        <v>15</v>
      </c>
    </row>
    <row r="93" spans="1:14" x14ac:dyDescent="0.3">
      <c r="A93">
        <v>28436</v>
      </c>
      <c r="B93" t="s">
        <v>33</v>
      </c>
      <c r="C93" t="s">
        <v>34</v>
      </c>
      <c r="D93" s="3">
        <v>30000</v>
      </c>
      <c r="E93">
        <v>0</v>
      </c>
      <c r="F93" t="s">
        <v>19</v>
      </c>
      <c r="G93" t="s">
        <v>20</v>
      </c>
      <c r="H93" t="s">
        <v>18</v>
      </c>
      <c r="I93">
        <v>1</v>
      </c>
      <c r="J93" t="s">
        <v>16</v>
      </c>
      <c r="K93" t="s">
        <v>17</v>
      </c>
      <c r="L93">
        <v>30</v>
      </c>
      <c r="M93" t="str">
        <f t="shared" si="1"/>
        <v>Adolescent</v>
      </c>
      <c r="N93" t="s">
        <v>15</v>
      </c>
    </row>
    <row r="94" spans="1:14" x14ac:dyDescent="0.3">
      <c r="A94">
        <v>19562</v>
      </c>
      <c r="B94" t="s">
        <v>33</v>
      </c>
      <c r="C94" t="s">
        <v>35</v>
      </c>
      <c r="D94" s="3">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3">
        <v>30000</v>
      </c>
      <c r="E95">
        <v>0</v>
      </c>
      <c r="F95" t="s">
        <v>19</v>
      </c>
      <c r="G95" t="s">
        <v>20</v>
      </c>
      <c r="H95" t="s">
        <v>18</v>
      </c>
      <c r="I95">
        <v>1</v>
      </c>
      <c r="J95" t="s">
        <v>22</v>
      </c>
      <c r="K95" t="s">
        <v>17</v>
      </c>
      <c r="L95">
        <v>33</v>
      </c>
      <c r="M95" t="str">
        <f t="shared" si="1"/>
        <v>Middle age</v>
      </c>
      <c r="N95" t="s">
        <v>18</v>
      </c>
    </row>
    <row r="96" spans="1:14" x14ac:dyDescent="0.3">
      <c r="A96">
        <v>16487</v>
      </c>
      <c r="B96" t="s">
        <v>33</v>
      </c>
      <c r="C96" t="s">
        <v>35</v>
      </c>
      <c r="D96" s="3">
        <v>30000</v>
      </c>
      <c r="E96">
        <v>3</v>
      </c>
      <c r="F96" t="s">
        <v>27</v>
      </c>
      <c r="G96" t="s">
        <v>14</v>
      </c>
      <c r="H96" t="s">
        <v>15</v>
      </c>
      <c r="I96">
        <v>2</v>
      </c>
      <c r="J96" t="s">
        <v>23</v>
      </c>
      <c r="K96" t="s">
        <v>24</v>
      </c>
      <c r="L96">
        <v>55</v>
      </c>
      <c r="M96" t="str">
        <f t="shared" si="1"/>
        <v>Old</v>
      </c>
      <c r="N96" t="s">
        <v>18</v>
      </c>
    </row>
    <row r="97" spans="1:14" x14ac:dyDescent="0.3">
      <c r="A97">
        <v>17197</v>
      </c>
      <c r="B97" t="s">
        <v>33</v>
      </c>
      <c r="C97" t="s">
        <v>35</v>
      </c>
      <c r="D97" s="3">
        <v>90000</v>
      </c>
      <c r="E97">
        <v>5</v>
      </c>
      <c r="F97" t="s">
        <v>19</v>
      </c>
      <c r="G97" t="s">
        <v>21</v>
      </c>
      <c r="H97" t="s">
        <v>15</v>
      </c>
      <c r="I97">
        <v>2</v>
      </c>
      <c r="J97" t="s">
        <v>42</v>
      </c>
      <c r="K97" t="s">
        <v>17</v>
      </c>
      <c r="L97">
        <v>62</v>
      </c>
      <c r="M97" t="str">
        <f t="shared" si="1"/>
        <v>Old</v>
      </c>
      <c r="N97" t="s">
        <v>18</v>
      </c>
    </row>
    <row r="98" spans="1:14" x14ac:dyDescent="0.3">
      <c r="A98">
        <v>12507</v>
      </c>
      <c r="B98" t="s">
        <v>32</v>
      </c>
      <c r="C98" t="s">
        <v>34</v>
      </c>
      <c r="D98" s="3">
        <v>30000</v>
      </c>
      <c r="E98">
        <v>1</v>
      </c>
      <c r="F98" t="s">
        <v>19</v>
      </c>
      <c r="G98" t="s">
        <v>20</v>
      </c>
      <c r="H98" t="s">
        <v>15</v>
      </c>
      <c r="I98">
        <v>1</v>
      </c>
      <c r="J98" t="s">
        <v>16</v>
      </c>
      <c r="K98" t="s">
        <v>17</v>
      </c>
      <c r="L98">
        <v>43</v>
      </c>
      <c r="M98" t="str">
        <f t="shared" si="1"/>
        <v>Middle age</v>
      </c>
      <c r="N98" t="s">
        <v>18</v>
      </c>
    </row>
    <row r="99" spans="1:14" x14ac:dyDescent="0.3">
      <c r="A99">
        <v>23940</v>
      </c>
      <c r="B99" t="s">
        <v>32</v>
      </c>
      <c r="C99" t="s">
        <v>34</v>
      </c>
      <c r="D99" s="3">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34</v>
      </c>
      <c r="D100" s="3">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35</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34</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34</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34</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34</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34</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35</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34</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3">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34</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34</v>
      </c>
      <c r="D117" s="3">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35</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34</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35</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35</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34</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3">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35</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35</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34</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34</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34</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34</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34</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32</v>
      </c>
      <c r="C132" t="s">
        <v>34</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34</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34</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34</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35</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34</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34</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35</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35</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34</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34</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35</v>
      </c>
      <c r="D145" s="3">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34</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35</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34</v>
      </c>
      <c r="D148" s="3">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35</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34</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34</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34</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34</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34</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34</v>
      </c>
      <c r="D156" s="3">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35</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34</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35</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35</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34</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34</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35</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34</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34</v>
      </c>
      <c r="D169" s="3">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34</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34</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35</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35</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34</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35</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34</v>
      </c>
      <c r="D176" s="3">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35</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34</v>
      </c>
      <c r="D180" s="3">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35</v>
      </c>
      <c r="D181" s="3">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34</v>
      </c>
      <c r="D182" s="3">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35</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35</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34</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35</v>
      </c>
      <c r="D186" s="3">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35</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35</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34</v>
      </c>
      <c r="D189" s="3">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35</v>
      </c>
      <c r="D190" s="3">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34</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34</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34</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3">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35</v>
      </c>
      <c r="D195" s="3">
        <v>70000</v>
      </c>
      <c r="E195">
        <v>5</v>
      </c>
      <c r="F195" t="s">
        <v>13</v>
      </c>
      <c r="G195" t="s">
        <v>21</v>
      </c>
      <c r="H195" t="s">
        <v>15</v>
      </c>
      <c r="I195">
        <v>4</v>
      </c>
      <c r="J195" t="s">
        <v>42</v>
      </c>
      <c r="K195" t="s">
        <v>24</v>
      </c>
      <c r="L195">
        <v>41</v>
      </c>
      <c r="M195" t="str">
        <f t="shared" ref="M195:M258" si="3">IF(L195&gt;54,"Old",IF(L195&gt;=31,"Middle age",IF(L195&lt;31,"Adolescent","Invalid")))</f>
        <v>Middle age</v>
      </c>
      <c r="N195" t="s">
        <v>18</v>
      </c>
    </row>
    <row r="196" spans="1:14" x14ac:dyDescent="0.3">
      <c r="A196">
        <v>17843</v>
      </c>
      <c r="B196" t="s">
        <v>33</v>
      </c>
      <c r="C196" t="s">
        <v>35</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34</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35</v>
      </c>
      <c r="D198" s="3">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34</v>
      </c>
      <c r="D199" s="3">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35</v>
      </c>
      <c r="D200" s="3">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34</v>
      </c>
      <c r="D201" s="3">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34</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34</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34</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35</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34</v>
      </c>
      <c r="D207" s="3">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34</v>
      </c>
      <c r="D208" s="3">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35</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35</v>
      </c>
      <c r="D210" s="3">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35</v>
      </c>
      <c r="D212" s="3">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35</v>
      </c>
      <c r="D213" s="3">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34</v>
      </c>
      <c r="D215" s="3">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34</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34</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34</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35</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34</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34</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34</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34</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35</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3">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35</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34</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34</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35</v>
      </c>
      <c r="D230" s="3">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34</v>
      </c>
      <c r="D231" s="3">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34</v>
      </c>
      <c r="D232" s="3">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35</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35</v>
      </c>
      <c r="D234" s="3">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34</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34</v>
      </c>
      <c r="D236" s="3">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35</v>
      </c>
      <c r="D237" s="3">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35</v>
      </c>
      <c r="D238" s="3">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35</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34</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34</v>
      </c>
      <c r="D242" s="3">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34</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35</v>
      </c>
      <c r="D246" s="3">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34</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35</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35</v>
      </c>
      <c r="D249" s="3">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35</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34</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34</v>
      </c>
      <c r="D252" s="3">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34</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34</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34</v>
      </c>
      <c r="D255" s="3">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34</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35</v>
      </c>
      <c r="D257" s="3">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34</v>
      </c>
      <c r="D258" s="3">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3">
        <v>50000</v>
      </c>
      <c r="E259">
        <v>0</v>
      </c>
      <c r="F259" t="s">
        <v>30</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33</v>
      </c>
      <c r="C260" t="s">
        <v>35</v>
      </c>
      <c r="D260" s="3">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34</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35</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35</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3">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34</v>
      </c>
      <c r="D266" s="3">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34</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34</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3">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34</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35</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35</v>
      </c>
      <c r="D277" s="3">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35</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35</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34</v>
      </c>
      <c r="D280" s="3">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34</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34</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34</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35</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34</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35</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3">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34</v>
      </c>
      <c r="D290" s="3">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34</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35</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34</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35</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34</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3">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35</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34</v>
      </c>
      <c r="D299" s="3">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35</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35</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35</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35</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34</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35</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34</v>
      </c>
      <c r="D306" s="3">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34</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34</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34</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34</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35</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34</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34</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34</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34</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34</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34</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34</v>
      </c>
      <c r="D318" s="3">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34</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34</v>
      </c>
      <c r="D320" s="3">
        <v>130000</v>
      </c>
      <c r="E320">
        <v>4</v>
      </c>
      <c r="F320" t="s">
        <v>19</v>
      </c>
      <c r="G320" t="s">
        <v>21</v>
      </c>
      <c r="H320" t="s">
        <v>18</v>
      </c>
      <c r="I320">
        <v>3</v>
      </c>
      <c r="J320" t="s">
        <v>42</v>
      </c>
      <c r="K320" t="s">
        <v>17</v>
      </c>
      <c r="L320">
        <v>54</v>
      </c>
      <c r="M320" t="str">
        <f t="shared" si="4"/>
        <v>Middle age</v>
      </c>
      <c r="N320" t="s">
        <v>18</v>
      </c>
    </row>
    <row r="321" spans="1:14" x14ac:dyDescent="0.3">
      <c r="A321">
        <v>11386</v>
      </c>
      <c r="B321" t="s">
        <v>32</v>
      </c>
      <c r="C321" t="s">
        <v>35</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34</v>
      </c>
      <c r="D322" s="3">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3">
        <v>160000</v>
      </c>
      <c r="E323">
        <v>0</v>
      </c>
      <c r="F323" t="s">
        <v>30</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33</v>
      </c>
      <c r="C324" t="s">
        <v>35</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35</v>
      </c>
      <c r="D325" s="3">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34</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34</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35</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34</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34</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35</v>
      </c>
      <c r="D331" s="3">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35</v>
      </c>
      <c r="D332" s="3">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34</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35</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34</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34</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34</v>
      </c>
      <c r="D337" s="3">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34</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34</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35</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34</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34</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35</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34</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34</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35</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34</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34</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34</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34</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35</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34</v>
      </c>
      <c r="D355" s="3">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34</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34</v>
      </c>
      <c r="D357" s="3">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35</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34</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34</v>
      </c>
      <c r="D361" s="3">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34</v>
      </c>
      <c r="D362" s="3">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34</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35</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35</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34</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35</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35</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35</v>
      </c>
      <c r="D372" s="3">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34</v>
      </c>
      <c r="D373" s="3">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34</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34</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35</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35</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34</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34</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34</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34</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34</v>
      </c>
      <c r="D382" s="3">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35</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34</v>
      </c>
      <c r="D384" s="3">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34</v>
      </c>
      <c r="D385" s="3">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34</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33</v>
      </c>
      <c r="C388" t="s">
        <v>35</v>
      </c>
      <c r="D388" s="3">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35</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35</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35</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34</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34</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35</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35</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34</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34</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35</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34</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3">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35</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34</v>
      </c>
      <c r="D404" s="3">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34</v>
      </c>
      <c r="D405" s="3">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34</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35</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35</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35</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35</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34</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34</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35</v>
      </c>
      <c r="D416" s="3">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35</v>
      </c>
      <c r="D417" s="3">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34</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34</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34</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35</v>
      </c>
      <c r="D422" s="3">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34</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34</v>
      </c>
      <c r="D424" s="3">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34</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34</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34</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35</v>
      </c>
      <c r="D429" s="3">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34</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35</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34</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35</v>
      </c>
      <c r="D434" s="3">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35</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35</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35</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35</v>
      </c>
      <c r="D440" s="3">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34</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34</v>
      </c>
      <c r="D442" s="3">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34</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34</v>
      </c>
      <c r="D444" s="3">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35</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34</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35</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35</v>
      </c>
      <c r="D448" s="3">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35</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35</v>
      </c>
      <c r="D450" s="3">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35</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33</v>
      </c>
      <c r="C452" t="s">
        <v>35</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35</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35</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35</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34</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35</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34</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35</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34</v>
      </c>
      <c r="D460" s="3">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35</v>
      </c>
      <c r="D461" s="3">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34</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35</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35</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34</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34</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35</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34</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35</v>
      </c>
      <c r="D470" s="3">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35</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34</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34</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3">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35</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35</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34</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35</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34</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34</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34</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35</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34</v>
      </c>
      <c r="D484" s="3">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34</v>
      </c>
      <c r="D485" s="3">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35</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34</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35</v>
      </c>
      <c r="D488" s="3">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34</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34</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34</v>
      </c>
      <c r="D492" s="3">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34</v>
      </c>
      <c r="D493" s="3">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3">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34</v>
      </c>
      <c r="D495" s="3">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34</v>
      </c>
      <c r="D496" s="3">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34</v>
      </c>
      <c r="D497" s="3">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35</v>
      </c>
      <c r="D498" s="3">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3">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34</v>
      </c>
      <c r="D500" s="3">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3">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34</v>
      </c>
      <c r="D502" s="3">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35</v>
      </c>
      <c r="D503" s="3">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34</v>
      </c>
      <c r="D504" s="3">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35</v>
      </c>
      <c r="D505" s="3">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34</v>
      </c>
      <c r="D506" s="3">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34</v>
      </c>
      <c r="D507" s="3">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35</v>
      </c>
      <c r="D508" s="3">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35</v>
      </c>
      <c r="D509" s="3">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34</v>
      </c>
      <c r="D510" s="3">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34</v>
      </c>
      <c r="D511" s="3">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34</v>
      </c>
      <c r="D512" s="3">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34</v>
      </c>
      <c r="D513" s="3">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35</v>
      </c>
      <c r="D514" s="3">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3">
        <v>60000</v>
      </c>
      <c r="E515">
        <v>4</v>
      </c>
      <c r="F515" t="s">
        <v>30</v>
      </c>
      <c r="G515" t="s">
        <v>28</v>
      </c>
      <c r="H515" t="s">
        <v>15</v>
      </c>
      <c r="I515">
        <v>2</v>
      </c>
      <c r="J515" t="s">
        <v>42</v>
      </c>
      <c r="K515" t="s">
        <v>31</v>
      </c>
      <c r="L515">
        <v>61</v>
      </c>
      <c r="M515" t="str">
        <f t="shared" ref="M515:M578" si="8">IF(L515&gt;54,"Old",IF(L515&gt;=31,"Middle age",IF(L515&lt;31,"Adolescent","Invalid")))</f>
        <v>Old</v>
      </c>
      <c r="N515" t="s">
        <v>15</v>
      </c>
    </row>
    <row r="516" spans="1:14" x14ac:dyDescent="0.3">
      <c r="A516">
        <v>19399</v>
      </c>
      <c r="B516" t="s">
        <v>33</v>
      </c>
      <c r="C516" t="s">
        <v>34</v>
      </c>
      <c r="D516" s="3">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35</v>
      </c>
      <c r="D517" s="3">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35</v>
      </c>
      <c r="D518" s="3">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34</v>
      </c>
      <c r="D519" s="3">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35</v>
      </c>
      <c r="D520" s="3">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34</v>
      </c>
      <c r="D521" s="3">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34</v>
      </c>
      <c r="D522" s="3">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34</v>
      </c>
      <c r="D523" s="3">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34</v>
      </c>
      <c r="D524" s="3">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34</v>
      </c>
      <c r="D525" s="3">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3">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34</v>
      </c>
      <c r="D527" s="3">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35</v>
      </c>
      <c r="D528" s="3">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34</v>
      </c>
      <c r="D529" s="3">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3">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34</v>
      </c>
      <c r="D531" s="3">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34</v>
      </c>
      <c r="D532" s="3">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34</v>
      </c>
      <c r="D533" s="3">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35</v>
      </c>
      <c r="D534" s="3">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34</v>
      </c>
      <c r="D535" s="3">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34</v>
      </c>
      <c r="D536" s="3">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34</v>
      </c>
      <c r="D537" s="3">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35</v>
      </c>
      <c r="D538" s="3">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35</v>
      </c>
      <c r="D539" s="3">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35</v>
      </c>
      <c r="D540" s="3">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3">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3">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34</v>
      </c>
      <c r="D543" s="3">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34</v>
      </c>
      <c r="D544" s="3">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35</v>
      </c>
      <c r="D545" s="3">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34</v>
      </c>
      <c r="D546" s="3">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34</v>
      </c>
      <c r="D547" s="3">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34</v>
      </c>
      <c r="D548" s="3">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34</v>
      </c>
      <c r="D549" s="3">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35</v>
      </c>
      <c r="D550" s="3">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35</v>
      </c>
      <c r="D551" s="3">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35</v>
      </c>
      <c r="D553" s="3">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34</v>
      </c>
      <c r="D554" s="3">
        <v>60000</v>
      </c>
      <c r="E554">
        <v>3</v>
      </c>
      <c r="F554" t="s">
        <v>27</v>
      </c>
      <c r="G554" t="s">
        <v>21</v>
      </c>
      <c r="H554" t="s">
        <v>15</v>
      </c>
      <c r="I554">
        <v>2</v>
      </c>
      <c r="J554" t="s">
        <v>42</v>
      </c>
      <c r="K554" t="s">
        <v>31</v>
      </c>
      <c r="L554">
        <v>54</v>
      </c>
      <c r="M554" t="str">
        <f t="shared" si="8"/>
        <v>Middle age</v>
      </c>
      <c r="N554" t="s">
        <v>15</v>
      </c>
    </row>
    <row r="555" spans="1:14" x14ac:dyDescent="0.3">
      <c r="A555">
        <v>17533</v>
      </c>
      <c r="B555" t="s">
        <v>32</v>
      </c>
      <c r="C555" t="s">
        <v>34</v>
      </c>
      <c r="D555" s="3">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35</v>
      </c>
      <c r="D556" s="3">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34</v>
      </c>
      <c r="D557" s="3">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34</v>
      </c>
      <c r="D558" s="3">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35</v>
      </c>
      <c r="D559" s="3">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35</v>
      </c>
      <c r="D560" s="3">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3">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35</v>
      </c>
      <c r="D562" s="3">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35</v>
      </c>
      <c r="D563" s="3">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35</v>
      </c>
      <c r="D564" s="3">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3">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34</v>
      </c>
      <c r="D566" s="3">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34</v>
      </c>
      <c r="D567" s="3">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35</v>
      </c>
      <c r="D568" s="3">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34</v>
      </c>
      <c r="D569" s="3">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34</v>
      </c>
      <c r="D570" s="3">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34</v>
      </c>
      <c r="D571" s="3">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34</v>
      </c>
      <c r="D572" s="3">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34</v>
      </c>
      <c r="D573" s="3">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34</v>
      </c>
      <c r="D574" s="3">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34</v>
      </c>
      <c r="D575" s="3">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35</v>
      </c>
      <c r="D576" s="3">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34</v>
      </c>
      <c r="D577" s="3">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35</v>
      </c>
      <c r="D578" s="3">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34</v>
      </c>
      <c r="D579" s="3">
        <v>120000</v>
      </c>
      <c r="E579">
        <v>1</v>
      </c>
      <c r="F579" t="s">
        <v>13</v>
      </c>
      <c r="G579" t="s">
        <v>28</v>
      </c>
      <c r="H579" t="s">
        <v>15</v>
      </c>
      <c r="I579">
        <v>4</v>
      </c>
      <c r="J579" t="s">
        <v>16</v>
      </c>
      <c r="K579" t="s">
        <v>31</v>
      </c>
      <c r="L579">
        <v>38</v>
      </c>
      <c r="M579" t="str">
        <f t="shared" ref="M579:M642" si="9">IF(L579&gt;54,"Old",IF(L579&gt;=31,"Middle age",IF(L579&lt;31,"Adolescent","Invalid")))</f>
        <v>Middle age</v>
      </c>
      <c r="N579" t="s">
        <v>18</v>
      </c>
    </row>
    <row r="580" spans="1:14" x14ac:dyDescent="0.3">
      <c r="A580">
        <v>15313</v>
      </c>
      <c r="B580" t="s">
        <v>32</v>
      </c>
      <c r="C580" t="s">
        <v>34</v>
      </c>
      <c r="D580" s="3">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35</v>
      </c>
      <c r="D581" s="3">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35</v>
      </c>
      <c r="D582" s="3">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34</v>
      </c>
      <c r="D583" s="3">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34</v>
      </c>
      <c r="D584" s="3">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34</v>
      </c>
      <c r="D585" s="3">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34</v>
      </c>
      <c r="D586" s="3">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34</v>
      </c>
      <c r="D587" s="3">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34</v>
      </c>
      <c r="D588" s="3">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35</v>
      </c>
      <c r="D589" s="3">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35</v>
      </c>
      <c r="D590" s="3">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34</v>
      </c>
      <c r="D591" s="3">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35</v>
      </c>
      <c r="D592" s="3">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34</v>
      </c>
      <c r="D593" s="3">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35</v>
      </c>
      <c r="D594" s="3">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3">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34</v>
      </c>
      <c r="D596" s="3">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35</v>
      </c>
      <c r="D597" s="3">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35</v>
      </c>
      <c r="D598" s="3">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34</v>
      </c>
      <c r="D599" s="3">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34</v>
      </c>
      <c r="D600" s="3">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35</v>
      </c>
      <c r="D601" s="3">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34</v>
      </c>
      <c r="D602" s="3">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34</v>
      </c>
      <c r="D603" s="3">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34</v>
      </c>
      <c r="D604" s="3">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34</v>
      </c>
      <c r="D605" s="3">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34</v>
      </c>
      <c r="D606" s="3">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34</v>
      </c>
      <c r="D607" s="3">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34</v>
      </c>
      <c r="D608" s="3">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3">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34</v>
      </c>
      <c r="D610" s="3">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34</v>
      </c>
      <c r="D611" s="3">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34</v>
      </c>
      <c r="D612" s="3">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35</v>
      </c>
      <c r="D613" s="3">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3">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34</v>
      </c>
      <c r="D615" s="3">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35</v>
      </c>
      <c r="D616" s="3">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3">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3">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34</v>
      </c>
      <c r="D619" s="3">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3">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3">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35</v>
      </c>
      <c r="D622" s="3">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34</v>
      </c>
      <c r="D623" s="3">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34</v>
      </c>
      <c r="D624" s="3">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35</v>
      </c>
      <c r="D625" s="3">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35</v>
      </c>
      <c r="D626" s="3">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34</v>
      </c>
      <c r="D627" s="3">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35</v>
      </c>
      <c r="D628" s="3">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35</v>
      </c>
      <c r="D629" s="3">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34</v>
      </c>
      <c r="D630" s="3">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35</v>
      </c>
      <c r="D631" s="3">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34</v>
      </c>
      <c r="D632" s="3">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34</v>
      </c>
      <c r="D633" s="3">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3">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35</v>
      </c>
      <c r="D635" s="3">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34</v>
      </c>
      <c r="D636" s="3">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35</v>
      </c>
      <c r="D637" s="3">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3">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34</v>
      </c>
      <c r="D639" s="3">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34</v>
      </c>
      <c r="D640" s="3">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34</v>
      </c>
      <c r="D641" s="3">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35</v>
      </c>
      <c r="D642" s="3">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34</v>
      </c>
      <c r="D643" s="3">
        <v>50000</v>
      </c>
      <c r="E643">
        <v>4</v>
      </c>
      <c r="F643" t="s">
        <v>13</v>
      </c>
      <c r="G643" t="s">
        <v>28</v>
      </c>
      <c r="H643" t="s">
        <v>15</v>
      </c>
      <c r="I643">
        <v>2</v>
      </c>
      <c r="J643" t="s">
        <v>42</v>
      </c>
      <c r="K643" t="s">
        <v>31</v>
      </c>
      <c r="L643">
        <v>64</v>
      </c>
      <c r="M643" t="str">
        <f t="shared" ref="M643:M706" si="10">IF(L643&gt;54,"Old",IF(L643&gt;=31,"Middle age",IF(L643&lt;31,"Adolescent","Invalid")))</f>
        <v>Old</v>
      </c>
      <c r="N643" t="s">
        <v>18</v>
      </c>
    </row>
    <row r="644" spans="1:14" x14ac:dyDescent="0.3">
      <c r="A644">
        <v>21741</v>
      </c>
      <c r="B644" t="s">
        <v>32</v>
      </c>
      <c r="C644" t="s">
        <v>35</v>
      </c>
      <c r="D644" s="3">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35</v>
      </c>
      <c r="D645" s="3">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35</v>
      </c>
      <c r="D646" s="3">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35</v>
      </c>
      <c r="D647" s="3">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3">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34</v>
      </c>
      <c r="D649" s="3">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35</v>
      </c>
      <c r="D650" s="3">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35</v>
      </c>
      <c r="D651" s="3">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3">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34</v>
      </c>
      <c r="D653" s="3">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34</v>
      </c>
      <c r="D654" s="3">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34</v>
      </c>
      <c r="D655" s="3">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34</v>
      </c>
      <c r="D656" s="3">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35</v>
      </c>
      <c r="D657" s="3">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34</v>
      </c>
      <c r="D658" s="3">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34</v>
      </c>
      <c r="D659" s="3">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34</v>
      </c>
      <c r="D660" s="3">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3">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35</v>
      </c>
      <c r="D662" s="3">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34</v>
      </c>
      <c r="D663" s="3">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35</v>
      </c>
      <c r="D664" s="3">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35</v>
      </c>
      <c r="D665" s="3">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35</v>
      </c>
      <c r="D666" s="3">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34</v>
      </c>
      <c r="D667" s="3">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35</v>
      </c>
      <c r="D668" s="3">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35</v>
      </c>
      <c r="D669" s="3">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35</v>
      </c>
      <c r="D670" s="3">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35</v>
      </c>
      <c r="D671" s="3">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34</v>
      </c>
      <c r="D672" s="3">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35</v>
      </c>
      <c r="D673" s="3">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3">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35</v>
      </c>
      <c r="D675" s="3">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35</v>
      </c>
      <c r="D676" s="3">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34</v>
      </c>
      <c r="D677" s="3">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34</v>
      </c>
      <c r="D678" s="3">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34</v>
      </c>
      <c r="D679" s="3">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34</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34</v>
      </c>
      <c r="D681" s="3">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35</v>
      </c>
      <c r="D682" s="3">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35</v>
      </c>
      <c r="D683" s="3">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34</v>
      </c>
      <c r="D684" s="3">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35</v>
      </c>
      <c r="D685" s="3">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3">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3">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35</v>
      </c>
      <c r="D688" s="3">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34</v>
      </c>
      <c r="D689" s="3">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34</v>
      </c>
      <c r="D690" s="3">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34</v>
      </c>
      <c r="D691" s="3">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35</v>
      </c>
      <c r="D692" s="3">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34</v>
      </c>
      <c r="D693" s="3">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34</v>
      </c>
      <c r="D694" s="3">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3">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3">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34</v>
      </c>
      <c r="D697" s="3">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34</v>
      </c>
      <c r="D698" s="3">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35</v>
      </c>
      <c r="D699" s="3">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34</v>
      </c>
      <c r="D700" s="3">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34</v>
      </c>
      <c r="D701" s="3">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35</v>
      </c>
      <c r="D702" s="3">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34</v>
      </c>
      <c r="D703" s="3">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34</v>
      </c>
      <c r="D704" s="3">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3">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35</v>
      </c>
      <c r="D706" s="3">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35</v>
      </c>
      <c r="D707" s="3">
        <v>70000</v>
      </c>
      <c r="E707">
        <v>4</v>
      </c>
      <c r="F707" t="s">
        <v>13</v>
      </c>
      <c r="G707" t="s">
        <v>28</v>
      </c>
      <c r="H707" t="s">
        <v>15</v>
      </c>
      <c r="I707">
        <v>1</v>
      </c>
      <c r="J707" t="s">
        <v>42</v>
      </c>
      <c r="K707" t="s">
        <v>31</v>
      </c>
      <c r="L707">
        <v>59</v>
      </c>
      <c r="M707" t="str">
        <f t="shared" ref="M707:M770" si="11">IF(L707&gt;54,"Old",IF(L707&gt;=31,"Middle age",IF(L707&lt;31,"Adolescent","Invalid")))</f>
        <v>Old</v>
      </c>
      <c r="N707" t="s">
        <v>18</v>
      </c>
    </row>
    <row r="708" spans="1:14" x14ac:dyDescent="0.3">
      <c r="A708">
        <v>20296</v>
      </c>
      <c r="B708" t="s">
        <v>33</v>
      </c>
      <c r="C708" t="s">
        <v>35</v>
      </c>
      <c r="D708" s="3">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35</v>
      </c>
      <c r="D709" s="3">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34</v>
      </c>
      <c r="D710" s="3">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35</v>
      </c>
      <c r="D711" s="3">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34</v>
      </c>
      <c r="D712" s="3">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35</v>
      </c>
      <c r="D713" s="3">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35</v>
      </c>
      <c r="D714" s="3">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35</v>
      </c>
      <c r="D715" s="3">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34</v>
      </c>
      <c r="D716" s="3">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35</v>
      </c>
      <c r="D717" s="3">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3">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34</v>
      </c>
      <c r="D719" s="3">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34</v>
      </c>
      <c r="D720" s="3">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35</v>
      </c>
      <c r="D721" s="3">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3">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34</v>
      </c>
      <c r="D723" s="3">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3">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3">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34</v>
      </c>
      <c r="D726" s="3">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34</v>
      </c>
      <c r="D727" s="3">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34</v>
      </c>
      <c r="D728" s="3">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34</v>
      </c>
      <c r="D729" s="3">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34</v>
      </c>
      <c r="D730" s="3">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35</v>
      </c>
      <c r="D731" s="3">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3">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34</v>
      </c>
      <c r="D733" s="3">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3">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34</v>
      </c>
      <c r="D735" s="3">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3">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3">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34</v>
      </c>
      <c r="D738" s="3">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34</v>
      </c>
      <c r="D739" s="3">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3">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35</v>
      </c>
      <c r="D741" s="3">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34</v>
      </c>
      <c r="D742" s="3">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35</v>
      </c>
      <c r="D743" s="3">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34</v>
      </c>
      <c r="D744" s="3">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34</v>
      </c>
      <c r="D745" s="3">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35</v>
      </c>
      <c r="D746" s="3">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34</v>
      </c>
      <c r="D747" s="3">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35</v>
      </c>
      <c r="D748" s="3">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35</v>
      </c>
      <c r="D749" s="3">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34</v>
      </c>
      <c r="D750" s="3">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35</v>
      </c>
      <c r="D751" s="3">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34</v>
      </c>
      <c r="D752" s="3">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34</v>
      </c>
      <c r="D753" s="3">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34</v>
      </c>
      <c r="D754" s="3">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35</v>
      </c>
      <c r="D755" s="3">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35</v>
      </c>
      <c r="D756" s="3">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34</v>
      </c>
      <c r="D757" s="3">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34</v>
      </c>
      <c r="D758" s="3">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34</v>
      </c>
      <c r="D759" s="3">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3">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3">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34</v>
      </c>
      <c r="D762" s="3">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35</v>
      </c>
      <c r="D763" s="3">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34</v>
      </c>
      <c r="D764" s="3">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34</v>
      </c>
      <c r="D765" s="3">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35</v>
      </c>
      <c r="D766" s="3">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35</v>
      </c>
      <c r="D767" s="3">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34</v>
      </c>
      <c r="D768" s="3">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35</v>
      </c>
      <c r="D769" s="3">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35</v>
      </c>
      <c r="D770" s="3">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35</v>
      </c>
      <c r="D771" s="3">
        <v>100000</v>
      </c>
      <c r="E771">
        <v>4</v>
      </c>
      <c r="F771" t="s">
        <v>13</v>
      </c>
      <c r="G771" t="s">
        <v>28</v>
      </c>
      <c r="H771" t="s">
        <v>15</v>
      </c>
      <c r="I771">
        <v>4</v>
      </c>
      <c r="J771" t="s">
        <v>16</v>
      </c>
      <c r="K771" t="s">
        <v>31</v>
      </c>
      <c r="L771">
        <v>40</v>
      </c>
      <c r="M771" t="str">
        <f t="shared" ref="M771:M834" si="12">IF(L771&gt;54,"Old",IF(L771&gt;=31,"Middle age",IF(L771&lt;31,"Adolescent","Invalid")))</f>
        <v>Middle age</v>
      </c>
      <c r="N771" t="s">
        <v>18</v>
      </c>
    </row>
    <row r="772" spans="1:14" x14ac:dyDescent="0.3">
      <c r="A772">
        <v>17699</v>
      </c>
      <c r="B772" t="s">
        <v>32</v>
      </c>
      <c r="C772" t="s">
        <v>34</v>
      </c>
      <c r="D772" s="3">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34</v>
      </c>
      <c r="D773" s="3">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34</v>
      </c>
      <c r="D774" s="3">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35</v>
      </c>
      <c r="D775" s="3">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35</v>
      </c>
      <c r="D776" s="3">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34</v>
      </c>
      <c r="D777" s="3">
        <v>70000</v>
      </c>
      <c r="E777">
        <v>2</v>
      </c>
      <c r="F777" t="s">
        <v>29</v>
      </c>
      <c r="G777" t="s">
        <v>14</v>
      </c>
      <c r="H777" t="s">
        <v>15</v>
      </c>
      <c r="I777">
        <v>2</v>
      </c>
      <c r="J777" t="s">
        <v>42</v>
      </c>
      <c r="K777" t="s">
        <v>31</v>
      </c>
      <c r="L777">
        <v>54</v>
      </c>
      <c r="M777" t="str">
        <f t="shared" si="12"/>
        <v>Middle age</v>
      </c>
      <c r="N777" t="s">
        <v>18</v>
      </c>
    </row>
    <row r="778" spans="1:14" x14ac:dyDescent="0.3">
      <c r="A778">
        <v>26490</v>
      </c>
      <c r="B778" t="s">
        <v>33</v>
      </c>
      <c r="C778" t="s">
        <v>34</v>
      </c>
      <c r="D778" s="3">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34</v>
      </c>
      <c r="D779" s="3">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34</v>
      </c>
      <c r="D780" s="3">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34</v>
      </c>
      <c r="D781" s="3">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35</v>
      </c>
      <c r="D782" s="3">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34</v>
      </c>
      <c r="D783" s="3">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34</v>
      </c>
      <c r="D784" s="3">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34</v>
      </c>
      <c r="D785" s="3">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3">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3">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35</v>
      </c>
      <c r="D788" s="3">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3">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35</v>
      </c>
      <c r="D790" s="3">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34</v>
      </c>
      <c r="D791" s="3">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3">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34</v>
      </c>
      <c r="D793" s="3">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34</v>
      </c>
      <c r="D794" s="3">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34</v>
      </c>
      <c r="D795" s="3">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34</v>
      </c>
      <c r="D796" s="3">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34</v>
      </c>
      <c r="D797" s="3">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34</v>
      </c>
      <c r="D798" s="3">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34</v>
      </c>
      <c r="D799" s="3">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35</v>
      </c>
      <c r="D800" s="3">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35</v>
      </c>
      <c r="D801" s="3">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34</v>
      </c>
      <c r="D802" s="3">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34</v>
      </c>
      <c r="D803" s="3">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34</v>
      </c>
      <c r="D804" s="3">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34</v>
      </c>
      <c r="D805" s="3">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34</v>
      </c>
      <c r="D806" s="3">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35</v>
      </c>
      <c r="D807" s="3">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35</v>
      </c>
      <c r="D808" s="3">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3">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34</v>
      </c>
      <c r="D810" s="3">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35</v>
      </c>
      <c r="D811" s="3">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35</v>
      </c>
      <c r="D812" s="3">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34</v>
      </c>
      <c r="D813" s="3">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35</v>
      </c>
      <c r="D814" s="3">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35</v>
      </c>
      <c r="D815" s="3">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35</v>
      </c>
      <c r="D816" s="3">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34</v>
      </c>
      <c r="D817" s="3">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35</v>
      </c>
      <c r="D818" s="3">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35</v>
      </c>
      <c r="D819" s="3">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34</v>
      </c>
      <c r="D820" s="3">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35</v>
      </c>
      <c r="D821" s="3">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34</v>
      </c>
      <c r="D822" s="3">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34</v>
      </c>
      <c r="D823" s="3">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34</v>
      </c>
      <c r="D824" s="3">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35</v>
      </c>
      <c r="D825" s="3">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34</v>
      </c>
      <c r="D826" s="3">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34</v>
      </c>
      <c r="D827" s="3">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34</v>
      </c>
      <c r="D828" s="3">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3">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3">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34</v>
      </c>
      <c r="D831" s="3">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34</v>
      </c>
      <c r="D832" s="3">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35</v>
      </c>
      <c r="D833" s="3">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35</v>
      </c>
      <c r="D834" s="3">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3">
        <v>70000</v>
      </c>
      <c r="E835">
        <v>0</v>
      </c>
      <c r="F835" t="s">
        <v>13</v>
      </c>
      <c r="G835" t="s">
        <v>21</v>
      </c>
      <c r="H835" t="s">
        <v>18</v>
      </c>
      <c r="I835">
        <v>1</v>
      </c>
      <c r="J835" t="s">
        <v>16</v>
      </c>
      <c r="K835" t="s">
        <v>31</v>
      </c>
      <c r="L835">
        <v>37</v>
      </c>
      <c r="M835" t="str">
        <f t="shared" ref="M835:M898" si="13">IF(L835&gt;54,"Old",IF(L835&gt;=31,"Middle age",IF(L835&lt;31,"Adolescent","Invalid")))</f>
        <v>Middle age</v>
      </c>
      <c r="N835" t="s">
        <v>15</v>
      </c>
    </row>
    <row r="836" spans="1:14" x14ac:dyDescent="0.3">
      <c r="A836">
        <v>19889</v>
      </c>
      <c r="B836" t="s">
        <v>33</v>
      </c>
      <c r="C836" t="s">
        <v>35</v>
      </c>
      <c r="D836" s="3">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35</v>
      </c>
      <c r="D837" s="3">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35</v>
      </c>
      <c r="D838" s="3">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34</v>
      </c>
      <c r="D839" s="3">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35</v>
      </c>
      <c r="D840" s="3">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3">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34</v>
      </c>
      <c r="D842" s="3">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34</v>
      </c>
      <c r="D843" s="3">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35</v>
      </c>
      <c r="D844" s="3">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34</v>
      </c>
      <c r="D845" s="3">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35</v>
      </c>
      <c r="D846" s="3">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35</v>
      </c>
      <c r="D847" s="3">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35</v>
      </c>
      <c r="D848" s="3">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35</v>
      </c>
      <c r="D849" s="3">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34</v>
      </c>
      <c r="D850" s="3">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35</v>
      </c>
      <c r="D851" s="3">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35</v>
      </c>
      <c r="D852" s="3">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34</v>
      </c>
      <c r="D853" s="3">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34</v>
      </c>
      <c r="D854" s="3">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34</v>
      </c>
      <c r="D855" s="3">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35</v>
      </c>
      <c r="D856" s="3">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35</v>
      </c>
      <c r="D857" s="3">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34</v>
      </c>
      <c r="D858" s="3">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35</v>
      </c>
      <c r="D859" s="3">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34</v>
      </c>
      <c r="D860" s="3">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34</v>
      </c>
      <c r="D861" s="3">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34</v>
      </c>
      <c r="D862" s="3">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35</v>
      </c>
      <c r="D863" s="3">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34</v>
      </c>
      <c r="D864" s="3">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34</v>
      </c>
      <c r="D865" s="3">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34</v>
      </c>
      <c r="D866" s="3">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35</v>
      </c>
      <c r="D867" s="3">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34</v>
      </c>
      <c r="D868" s="3">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34</v>
      </c>
      <c r="D869" s="3">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34</v>
      </c>
      <c r="D870" s="3">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35</v>
      </c>
      <c r="D871" s="3">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34</v>
      </c>
      <c r="D872" s="3">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34</v>
      </c>
      <c r="D873" s="3">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35</v>
      </c>
      <c r="D874" s="3">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34</v>
      </c>
      <c r="D875" s="3">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35</v>
      </c>
      <c r="D876" s="3">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3">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34</v>
      </c>
      <c r="D878" s="3">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34</v>
      </c>
      <c r="D879" s="3">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34</v>
      </c>
      <c r="D880" s="3">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34</v>
      </c>
      <c r="D881" s="3">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34</v>
      </c>
      <c r="D882" s="3">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35</v>
      </c>
      <c r="D883" s="3">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34</v>
      </c>
      <c r="D884" s="3">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35</v>
      </c>
      <c r="D885" s="3">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34</v>
      </c>
      <c r="D886" s="3">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35</v>
      </c>
      <c r="D887" s="3">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34</v>
      </c>
      <c r="D888" s="3">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34</v>
      </c>
      <c r="D889" s="3">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35</v>
      </c>
      <c r="D890" s="3">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35</v>
      </c>
      <c r="D891" s="3">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35</v>
      </c>
      <c r="D892" s="3">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34</v>
      </c>
      <c r="D893" s="3">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35</v>
      </c>
      <c r="D894" s="3">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34</v>
      </c>
      <c r="D895" s="3">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34</v>
      </c>
      <c r="D896" s="3">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35</v>
      </c>
      <c r="D897" s="3">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35</v>
      </c>
      <c r="D898" s="3">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34</v>
      </c>
      <c r="D899" s="3">
        <v>30000</v>
      </c>
      <c r="E899">
        <v>0</v>
      </c>
      <c r="F899" t="s">
        <v>29</v>
      </c>
      <c r="G899" t="s">
        <v>20</v>
      </c>
      <c r="H899" t="s">
        <v>18</v>
      </c>
      <c r="I899">
        <v>2</v>
      </c>
      <c r="J899" t="s">
        <v>16</v>
      </c>
      <c r="K899" t="s">
        <v>31</v>
      </c>
      <c r="L899">
        <v>28</v>
      </c>
      <c r="M899" t="str">
        <f t="shared" ref="M899:M962" si="14">IF(L899&gt;54,"Old",IF(L899&gt;=31,"Middle age",IF(L899&lt;31,"Adolescent","Invalid")))</f>
        <v>Adolescent</v>
      </c>
      <c r="N899" t="s">
        <v>18</v>
      </c>
    </row>
    <row r="900" spans="1:14" x14ac:dyDescent="0.3">
      <c r="A900">
        <v>18066</v>
      </c>
      <c r="B900" t="s">
        <v>33</v>
      </c>
      <c r="C900" t="s">
        <v>34</v>
      </c>
      <c r="D900" s="3">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35</v>
      </c>
      <c r="D901" s="3">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34</v>
      </c>
      <c r="D902" s="3">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3">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34</v>
      </c>
      <c r="D904" s="3">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34</v>
      </c>
      <c r="D905" s="3">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35</v>
      </c>
      <c r="D906" s="3">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34</v>
      </c>
      <c r="D907" s="3">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34</v>
      </c>
      <c r="D908" s="3">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34</v>
      </c>
      <c r="D909" s="3">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34</v>
      </c>
      <c r="D910" s="3">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34</v>
      </c>
      <c r="D911" s="3">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34</v>
      </c>
      <c r="D912" s="3">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35</v>
      </c>
      <c r="D913" s="3">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35</v>
      </c>
      <c r="D914" s="3">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34</v>
      </c>
      <c r="D915" s="3">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34</v>
      </c>
      <c r="D916" s="3">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34</v>
      </c>
      <c r="D917" s="3">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34</v>
      </c>
      <c r="D918" s="3">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34</v>
      </c>
      <c r="D919" s="3">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35</v>
      </c>
      <c r="D920" s="3">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35</v>
      </c>
      <c r="D921" s="3">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34</v>
      </c>
      <c r="D922" s="3">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3">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35</v>
      </c>
      <c r="D924" s="3">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34</v>
      </c>
      <c r="D925" s="3">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34</v>
      </c>
      <c r="D926" s="3">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3">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35</v>
      </c>
      <c r="D928" s="3">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35</v>
      </c>
      <c r="D929" s="3">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34</v>
      </c>
      <c r="D930" s="3">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34</v>
      </c>
      <c r="D931" s="3">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34</v>
      </c>
      <c r="D932" s="3">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35</v>
      </c>
      <c r="D933" s="3">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3">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34</v>
      </c>
      <c r="D935" s="3">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34</v>
      </c>
      <c r="D936" s="3">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35</v>
      </c>
      <c r="D937" s="3">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35</v>
      </c>
      <c r="D938" s="3">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34</v>
      </c>
      <c r="D939" s="3">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35</v>
      </c>
      <c r="D940" s="3">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34</v>
      </c>
      <c r="D941" s="3">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3">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35</v>
      </c>
      <c r="D943" s="3">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35</v>
      </c>
      <c r="D944" s="3">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35</v>
      </c>
      <c r="D945" s="3">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35</v>
      </c>
      <c r="D946" s="3">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34</v>
      </c>
      <c r="D947" s="3">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35</v>
      </c>
      <c r="D948" s="3">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35</v>
      </c>
      <c r="D949" s="3">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3">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34</v>
      </c>
      <c r="D951" s="3">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35</v>
      </c>
      <c r="D952" s="3">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34</v>
      </c>
      <c r="D953" s="3">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35</v>
      </c>
      <c r="D954" s="3">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35</v>
      </c>
      <c r="D955" s="3">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34</v>
      </c>
      <c r="D956" s="3">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35</v>
      </c>
      <c r="D957" s="3">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35</v>
      </c>
      <c r="D958" s="3">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35</v>
      </c>
      <c r="D959" s="3">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34</v>
      </c>
      <c r="D960" s="3">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34</v>
      </c>
      <c r="D961" s="3">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34</v>
      </c>
      <c r="D962" s="3">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35</v>
      </c>
      <c r="D963" s="3">
        <v>120000</v>
      </c>
      <c r="E963">
        <v>2</v>
      </c>
      <c r="F963" t="s">
        <v>13</v>
      </c>
      <c r="G963" t="s">
        <v>28</v>
      </c>
      <c r="H963" t="s">
        <v>15</v>
      </c>
      <c r="I963">
        <v>3</v>
      </c>
      <c r="J963" t="s">
        <v>23</v>
      </c>
      <c r="K963" t="s">
        <v>31</v>
      </c>
      <c r="L963">
        <v>62</v>
      </c>
      <c r="M963" t="str">
        <f t="shared" ref="M963:M1005" si="15">IF(L963&gt;54,"Old",IF(L963&gt;=31,"Middle age",IF(L963&lt;31,"Adolescent","Invalid")))</f>
        <v>Old</v>
      </c>
      <c r="N963" t="s">
        <v>18</v>
      </c>
    </row>
    <row r="964" spans="1:14" x14ac:dyDescent="0.3">
      <c r="A964">
        <v>16813</v>
      </c>
      <c r="B964" t="s">
        <v>32</v>
      </c>
      <c r="C964" t="s">
        <v>34</v>
      </c>
      <c r="D964" s="3">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35</v>
      </c>
      <c r="D965" s="3">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34</v>
      </c>
      <c r="D966" s="3">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35</v>
      </c>
      <c r="D967" s="3">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35</v>
      </c>
      <c r="D968" s="3">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34</v>
      </c>
      <c r="D969" s="3">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34</v>
      </c>
      <c r="D970" s="3">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34</v>
      </c>
      <c r="D971" s="3">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35</v>
      </c>
      <c r="D972" s="3">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35</v>
      </c>
      <c r="D973" s="3">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35</v>
      </c>
      <c r="D974" s="3">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34</v>
      </c>
      <c r="D975" s="3">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34</v>
      </c>
      <c r="D976" s="3">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34</v>
      </c>
      <c r="D977" s="3">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35</v>
      </c>
      <c r="D978" s="3">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35</v>
      </c>
      <c r="D979" s="3">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34</v>
      </c>
      <c r="D980" s="3">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34</v>
      </c>
      <c r="D981" s="3">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35</v>
      </c>
      <c r="D982" s="3">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34</v>
      </c>
      <c r="D983" s="3">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34</v>
      </c>
      <c r="D984" s="3">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34</v>
      </c>
      <c r="D985" s="3">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34</v>
      </c>
      <c r="D986" s="3">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3">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34</v>
      </c>
      <c r="D988" s="3">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35</v>
      </c>
      <c r="D989" s="3">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34</v>
      </c>
      <c r="D990" s="3">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34</v>
      </c>
      <c r="D991" s="3">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35</v>
      </c>
      <c r="D992" s="3">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35</v>
      </c>
      <c r="D993" s="3">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34</v>
      </c>
      <c r="D994" s="3">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34</v>
      </c>
      <c r="D995" s="3">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34</v>
      </c>
      <c r="D996" s="3">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34</v>
      </c>
      <c r="D997" s="3">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34</v>
      </c>
      <c r="D998" s="3">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34</v>
      </c>
      <c r="D999" s="3">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34</v>
      </c>
      <c r="D1000" s="3">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34</v>
      </c>
      <c r="D1001" s="3">
        <v>60000</v>
      </c>
      <c r="E1001">
        <v>3</v>
      </c>
      <c r="F1001" t="s">
        <v>27</v>
      </c>
      <c r="G1001" t="s">
        <v>21</v>
      </c>
      <c r="H1001" t="s">
        <v>15</v>
      </c>
      <c r="I1001">
        <v>2</v>
      </c>
      <c r="J1001" t="s">
        <v>42</v>
      </c>
      <c r="K1001" t="s">
        <v>31</v>
      </c>
      <c r="L1001">
        <v>53</v>
      </c>
      <c r="M1001" t="str">
        <f t="shared" si="15"/>
        <v>Middle age</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2186-3A58-4A49-8155-05C9318AA67B}">
  <dimension ref="A1:D69"/>
  <sheetViews>
    <sheetView topLeftCell="B52" workbookViewId="0">
      <selection activeCell="M56" sqref="M56"/>
    </sheetView>
  </sheetViews>
  <sheetFormatPr defaultRowHeight="14.4" x14ac:dyDescent="0.3"/>
  <cols>
    <col min="1" max="1" width="12.88671875" bestFit="1" customWidth="1"/>
    <col min="2" max="2" width="15.5546875" bestFit="1" customWidth="1"/>
    <col min="3" max="4" width="10.77734375" bestFit="1" customWidth="1"/>
    <col min="5" max="5" width="11.21875" bestFit="1" customWidth="1"/>
    <col min="6" max="6" width="13.44140625" bestFit="1" customWidth="1"/>
    <col min="7" max="7" width="10.77734375" bestFit="1" customWidth="1"/>
  </cols>
  <sheetData>
    <row r="1" spans="1:4" x14ac:dyDescent="0.3">
      <c r="A1" s="4" t="s">
        <v>39</v>
      </c>
      <c r="B1" s="4" t="s">
        <v>40</v>
      </c>
    </row>
    <row r="2" spans="1:4" x14ac:dyDescent="0.3">
      <c r="A2" s="4" t="s">
        <v>37</v>
      </c>
      <c r="B2" t="s">
        <v>18</v>
      </c>
      <c r="C2" t="s">
        <v>15</v>
      </c>
      <c r="D2" t="s">
        <v>38</v>
      </c>
    </row>
    <row r="3" spans="1:4" x14ac:dyDescent="0.3">
      <c r="A3" s="5" t="s">
        <v>35</v>
      </c>
      <c r="B3" s="3">
        <v>74406.779661016946</v>
      </c>
      <c r="C3" s="3">
        <v>75074.626865671642</v>
      </c>
      <c r="D3" s="2">
        <v>74761.904761904763</v>
      </c>
    </row>
    <row r="4" spans="1:4" x14ac:dyDescent="0.3">
      <c r="A4" s="5" t="s">
        <v>34</v>
      </c>
      <c r="B4" s="3">
        <v>75223.880597014926</v>
      </c>
      <c r="C4" s="3">
        <v>75421.686746987951</v>
      </c>
      <c r="D4" s="3">
        <v>75333.333333333328</v>
      </c>
    </row>
    <row r="5" spans="1:4" x14ac:dyDescent="0.3">
      <c r="A5" s="5" t="s">
        <v>38</v>
      </c>
      <c r="B5" s="3">
        <v>74841.269841269837</v>
      </c>
      <c r="C5" s="3">
        <v>75266.666666666672</v>
      </c>
      <c r="D5" s="3">
        <v>75072.463768115937</v>
      </c>
    </row>
    <row r="19" spans="1:4" x14ac:dyDescent="0.3">
      <c r="A19" s="4" t="s">
        <v>41</v>
      </c>
      <c r="B19" s="4" t="s">
        <v>40</v>
      </c>
    </row>
    <row r="20" spans="1:4" x14ac:dyDescent="0.3">
      <c r="A20" s="4" t="s">
        <v>37</v>
      </c>
      <c r="B20" t="s">
        <v>18</v>
      </c>
      <c r="C20" t="s">
        <v>15</v>
      </c>
      <c r="D20" t="s">
        <v>38</v>
      </c>
    </row>
    <row r="21" spans="1:4" x14ac:dyDescent="0.3">
      <c r="A21" s="5" t="s">
        <v>16</v>
      </c>
      <c r="B21" s="6">
        <v>21</v>
      </c>
      <c r="C21" s="6">
        <v>39</v>
      </c>
      <c r="D21" s="6">
        <v>60</v>
      </c>
    </row>
    <row r="22" spans="1:4" x14ac:dyDescent="0.3">
      <c r="A22" s="5" t="s">
        <v>26</v>
      </c>
      <c r="B22" s="6">
        <v>14</v>
      </c>
      <c r="C22" s="6">
        <v>13</v>
      </c>
      <c r="D22" s="6">
        <v>27</v>
      </c>
    </row>
    <row r="23" spans="1:4" x14ac:dyDescent="0.3">
      <c r="A23" s="5" t="s">
        <v>22</v>
      </c>
      <c r="B23" s="6">
        <v>24</v>
      </c>
      <c r="C23" s="6">
        <v>49</v>
      </c>
      <c r="D23" s="6">
        <v>73</v>
      </c>
    </row>
    <row r="24" spans="1:4" x14ac:dyDescent="0.3">
      <c r="A24" s="5" t="s">
        <v>23</v>
      </c>
      <c r="B24" s="6">
        <v>27</v>
      </c>
      <c r="C24" s="6">
        <v>29</v>
      </c>
      <c r="D24" s="6">
        <v>56</v>
      </c>
    </row>
    <row r="25" spans="1:4" x14ac:dyDescent="0.3">
      <c r="A25" s="5" t="s">
        <v>42</v>
      </c>
      <c r="B25" s="6">
        <v>40</v>
      </c>
      <c r="C25" s="6">
        <v>20</v>
      </c>
      <c r="D25" s="6">
        <v>60</v>
      </c>
    </row>
    <row r="26" spans="1:4" x14ac:dyDescent="0.3">
      <c r="A26" s="5" t="s">
        <v>38</v>
      </c>
      <c r="B26" s="6">
        <v>126</v>
      </c>
      <c r="C26" s="6">
        <v>150</v>
      </c>
      <c r="D26" s="6">
        <v>276</v>
      </c>
    </row>
    <row r="43" spans="1:4" x14ac:dyDescent="0.3">
      <c r="A43" s="4" t="s">
        <v>41</v>
      </c>
      <c r="B43" s="4" t="s">
        <v>40</v>
      </c>
    </row>
    <row r="44" spans="1:4" x14ac:dyDescent="0.3">
      <c r="A44" s="4" t="s">
        <v>37</v>
      </c>
      <c r="B44" t="s">
        <v>18</v>
      </c>
      <c r="C44" t="s">
        <v>15</v>
      </c>
      <c r="D44" t="s">
        <v>38</v>
      </c>
    </row>
    <row r="45" spans="1:4" x14ac:dyDescent="0.3">
      <c r="A45" s="5" t="s">
        <v>43</v>
      </c>
      <c r="B45" s="6">
        <v>3</v>
      </c>
      <c r="C45" s="6">
        <v>2</v>
      </c>
      <c r="D45" s="6">
        <v>5</v>
      </c>
    </row>
    <row r="46" spans="1:4" x14ac:dyDescent="0.3">
      <c r="A46" s="5" t="s">
        <v>44</v>
      </c>
      <c r="B46" s="6">
        <v>94</v>
      </c>
      <c r="C46" s="6">
        <v>130</v>
      </c>
      <c r="D46" s="6">
        <v>224</v>
      </c>
    </row>
    <row r="47" spans="1:4" x14ac:dyDescent="0.3">
      <c r="A47" s="5" t="s">
        <v>45</v>
      </c>
      <c r="B47" s="6">
        <v>29</v>
      </c>
      <c r="C47" s="6">
        <v>18</v>
      </c>
      <c r="D47" s="6">
        <v>47</v>
      </c>
    </row>
    <row r="48" spans="1:4" x14ac:dyDescent="0.3">
      <c r="A48" s="5" t="s">
        <v>38</v>
      </c>
      <c r="B48" s="6">
        <v>126</v>
      </c>
      <c r="C48" s="6">
        <v>150</v>
      </c>
      <c r="D48" s="6">
        <v>276</v>
      </c>
    </row>
    <row r="64" spans="1:2" x14ac:dyDescent="0.3">
      <c r="A64" s="4" t="s">
        <v>46</v>
      </c>
      <c r="B64" s="4" t="s">
        <v>40</v>
      </c>
    </row>
    <row r="65" spans="1:3" x14ac:dyDescent="0.3">
      <c r="A65" s="4" t="s">
        <v>37</v>
      </c>
      <c r="B65" t="s">
        <v>32</v>
      </c>
      <c r="C65" t="s">
        <v>38</v>
      </c>
    </row>
    <row r="66" spans="1:3" x14ac:dyDescent="0.3">
      <c r="A66" s="5" t="s">
        <v>17</v>
      </c>
      <c r="B66" s="6">
        <v>449306</v>
      </c>
      <c r="C66" s="6">
        <v>449306</v>
      </c>
    </row>
    <row r="67" spans="1:3" x14ac:dyDescent="0.3">
      <c r="A67" s="5" t="s">
        <v>31</v>
      </c>
      <c r="B67" s="6">
        <v>2334391</v>
      </c>
      <c r="C67" s="6">
        <v>2334391</v>
      </c>
    </row>
    <row r="68" spans="1:3" x14ac:dyDescent="0.3">
      <c r="A68" s="5" t="s">
        <v>24</v>
      </c>
      <c r="B68" s="6">
        <v>437729</v>
      </c>
      <c r="C68" s="6">
        <v>437729</v>
      </c>
    </row>
    <row r="69" spans="1:3" x14ac:dyDescent="0.3">
      <c r="A69" s="5" t="s">
        <v>38</v>
      </c>
      <c r="B69" s="6">
        <v>3221426</v>
      </c>
      <c r="C69" s="6">
        <v>3221426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6E01-CC05-4FE0-A3DB-E931F83192CB}">
  <dimension ref="B2:M5"/>
  <sheetViews>
    <sheetView showGridLines="0" tabSelected="1" workbookViewId="0">
      <selection activeCell="S9" sqref="S9"/>
    </sheetView>
  </sheetViews>
  <sheetFormatPr defaultRowHeight="14.4" x14ac:dyDescent="0.3"/>
  <sheetData>
    <row r="2" spans="2:13" x14ac:dyDescent="0.3">
      <c r="B2" s="7"/>
      <c r="C2" s="8"/>
      <c r="D2" s="8"/>
      <c r="E2" s="8"/>
      <c r="F2" s="8"/>
      <c r="G2" s="8"/>
      <c r="H2" s="8"/>
      <c r="I2" s="8"/>
      <c r="J2" s="8"/>
      <c r="K2" s="8"/>
      <c r="L2" s="7"/>
      <c r="M2" s="7"/>
    </row>
    <row r="3" spans="2:13" ht="61.2" x14ac:dyDescent="0.3">
      <c r="B3" s="7"/>
      <c r="C3" s="9" t="s">
        <v>47</v>
      </c>
      <c r="D3" s="9"/>
      <c r="E3" s="9"/>
      <c r="F3" s="10"/>
      <c r="G3" s="10"/>
      <c r="H3" s="10"/>
      <c r="I3" s="10"/>
      <c r="J3" s="10"/>
      <c r="K3" s="10"/>
      <c r="L3" s="7"/>
      <c r="M3" s="7"/>
    </row>
    <row r="4" spans="2:13" x14ac:dyDescent="0.3">
      <c r="B4" s="7"/>
      <c r="C4" s="7"/>
      <c r="D4" s="7"/>
      <c r="E4" s="7"/>
      <c r="F4" s="7"/>
      <c r="G4" s="7"/>
      <c r="H4" s="7"/>
      <c r="I4" s="7"/>
      <c r="J4" s="7"/>
      <c r="K4" s="7"/>
      <c r="L4" s="7"/>
      <c r="M4" s="7"/>
    </row>
    <row r="5" spans="2:13" x14ac:dyDescent="0.3">
      <c r="B5" s="7"/>
      <c r="C5" s="7"/>
      <c r="D5" s="7"/>
      <c r="E5" s="7"/>
      <c r="F5" s="7"/>
      <c r="G5" s="7"/>
      <c r="H5" s="7"/>
      <c r="I5" s="7"/>
      <c r="J5" s="7"/>
      <c r="K5" s="7"/>
      <c r="L5" s="7"/>
      <c r="M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Vishishta</dc:creator>
  <cp:lastModifiedBy>Vishishta H E</cp:lastModifiedBy>
  <dcterms:created xsi:type="dcterms:W3CDTF">2022-03-18T02:50:57Z</dcterms:created>
  <dcterms:modified xsi:type="dcterms:W3CDTF">2026-07-18T11:27:05Z</dcterms:modified>
</cp:coreProperties>
</file>